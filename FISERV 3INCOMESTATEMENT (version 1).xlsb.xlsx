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ohann\Desktop\Finance\"/>
    </mc:Choice>
  </mc:AlternateContent>
  <xr:revisionPtr revIDLastSave="0" documentId="13_ncr:1_{CBBCD59C-F07B-4301-AF73-A6959BD7C82B}" xr6:coauthVersionLast="47" xr6:coauthVersionMax="47" xr10:uidLastSave="{00000000-0000-0000-0000-000000000000}"/>
  <bookViews>
    <workbookView xWindow="-120" yWindow="-120" windowWidth="38640" windowHeight="21240" xr2:uid="{E5E6CD55-0CD1-4507-A0C7-DE42AB7BEE74}"/>
  </bookViews>
  <sheets>
    <sheet name="FISERV Inc 3 income statement" sheetId="1" r:id="rId1"/>
    <sheet name="Cost of Debt" sheetId="4" r:id="rId2"/>
    <sheet name="Business Information" sheetId="2" r:id="rId3"/>
    <sheet name="Assumptions" sheetId="3" r:id="rId4"/>
    <sheet name="Sheet2"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4" i="1" l="1"/>
  <c r="H48" i="1"/>
  <c r="H36" i="1"/>
  <c r="H25" i="1"/>
  <c r="G48" i="1"/>
  <c r="G36" i="1"/>
  <c r="G25" i="1"/>
  <c r="H26" i="1"/>
  <c r="H15" i="1"/>
  <c r="G14" i="1"/>
  <c r="C29" i="4" l="1"/>
  <c r="I15" i="1"/>
  <c r="H234" i="1"/>
  <c r="G234" i="1"/>
  <c r="H233" i="1"/>
  <c r="G233" i="1"/>
  <c r="H232" i="1"/>
  <c r="G232" i="1"/>
  <c r="H229" i="1"/>
  <c r="G229" i="1"/>
  <c r="H228" i="1"/>
  <c r="G228" i="1"/>
  <c r="H227" i="1"/>
  <c r="G227" i="1"/>
  <c r="H224" i="1"/>
  <c r="G224" i="1"/>
  <c r="H223" i="1"/>
  <c r="G223" i="1"/>
  <c r="H222" i="1"/>
  <c r="G222" i="1"/>
  <c r="F229" i="1"/>
  <c r="F228" i="1"/>
  <c r="F227" i="1"/>
  <c r="F224" i="1"/>
  <c r="F223" i="1"/>
  <c r="F222" i="1"/>
  <c r="F234" i="1"/>
  <c r="F233" i="1"/>
  <c r="F232" i="1"/>
  <c r="G221" i="1"/>
  <c r="H221" i="1" s="1"/>
  <c r="G212" i="1"/>
  <c r="H212" i="1" s="1"/>
  <c r="Q253" i="1"/>
  <c r="G275" i="1"/>
  <c r="D288" i="1"/>
  <c r="D289" i="1" s="1"/>
  <c r="D290" i="1" s="1"/>
  <c r="D291" i="1" s="1"/>
  <c r="B9" i="2"/>
  <c r="B8" i="2"/>
  <c r="B7" i="2"/>
  <c r="B6" i="2"/>
  <c r="E255" i="1"/>
  <c r="F255" i="1"/>
  <c r="N19" i="1"/>
  <c r="M19" i="1"/>
  <c r="L19" i="1"/>
  <c r="K19" i="1"/>
  <c r="J19" i="1"/>
  <c r="I19" i="1"/>
  <c r="N18" i="1"/>
  <c r="M18" i="1"/>
  <c r="L18" i="1"/>
  <c r="K18" i="1"/>
  <c r="J18" i="1"/>
  <c r="I18" i="1"/>
  <c r="N15" i="1"/>
  <c r="M15" i="1"/>
  <c r="L15" i="1"/>
  <c r="K15" i="1"/>
  <c r="J15" i="1"/>
  <c r="N14" i="1"/>
  <c r="M14" i="1"/>
  <c r="L14" i="1"/>
  <c r="K14" i="1"/>
  <c r="J14" i="1"/>
  <c r="I14" i="1"/>
  <c r="I70" i="1" s="1"/>
  <c r="N13" i="1"/>
  <c r="M13" i="1"/>
  <c r="L13" i="1"/>
  <c r="K13" i="1"/>
  <c r="J13" i="1"/>
  <c r="I13" i="1"/>
  <c r="I64" i="1" s="1"/>
  <c r="N12" i="1"/>
  <c r="M12" i="1"/>
  <c r="L12" i="1"/>
  <c r="K12" i="1"/>
  <c r="J12" i="1"/>
  <c r="I12" i="1"/>
  <c r="I61" i="1" s="1"/>
  <c r="J11" i="1"/>
  <c r="K11" i="1"/>
  <c r="L11" i="1"/>
  <c r="M11" i="1"/>
  <c r="N11" i="1"/>
  <c r="I11" i="1"/>
  <c r="I28" i="1"/>
  <c r="I17" i="1" s="1"/>
  <c r="H27" i="1"/>
  <c r="G27" i="1"/>
  <c r="F27" i="1"/>
  <c r="H24" i="1"/>
  <c r="G24" i="1"/>
  <c r="H16" i="1"/>
  <c r="G16" i="1"/>
  <c r="F16" i="1"/>
  <c r="H14" i="1"/>
  <c r="H13" i="1"/>
  <c r="G13" i="1"/>
  <c r="C275" i="1"/>
  <c r="K273" i="1"/>
  <c r="F259" i="1"/>
  <c r="E259" i="1"/>
  <c r="D259" i="1"/>
  <c r="F257" i="1"/>
  <c r="E257" i="1"/>
  <c r="D257" i="1"/>
  <c r="D255" i="1"/>
  <c r="E252" i="1"/>
  <c r="F252" i="1" s="1"/>
  <c r="C249" i="1"/>
  <c r="G273" i="1" s="1"/>
  <c r="H205" i="1"/>
  <c r="G205" i="1"/>
  <c r="F205" i="1"/>
  <c r="H191" i="1"/>
  <c r="G191" i="1"/>
  <c r="F191" i="1"/>
  <c r="H172" i="1"/>
  <c r="G172" i="1"/>
  <c r="F172" i="1"/>
  <c r="H171" i="1"/>
  <c r="G171" i="1"/>
  <c r="F171" i="1"/>
  <c r="H170" i="1"/>
  <c r="G170" i="1"/>
  <c r="F170" i="1"/>
  <c r="H169" i="1"/>
  <c r="G169" i="1"/>
  <c r="F169" i="1"/>
  <c r="H168" i="1"/>
  <c r="G168" i="1"/>
  <c r="F168" i="1"/>
  <c r="G148" i="1"/>
  <c r="H148" i="1" s="1"/>
  <c r="H138" i="1"/>
  <c r="C242" i="1" s="1"/>
  <c r="G138" i="1"/>
  <c r="G142" i="1" s="1"/>
  <c r="F138" i="1"/>
  <c r="F142" i="1" s="1"/>
  <c r="H123" i="1"/>
  <c r="H129" i="1" s="1"/>
  <c r="H143" i="1" s="1"/>
  <c r="G123" i="1"/>
  <c r="G129" i="1" s="1"/>
  <c r="F123" i="1"/>
  <c r="F129" i="1" s="1"/>
  <c r="H107" i="1"/>
  <c r="H117" i="1" s="1"/>
  <c r="G107" i="1"/>
  <c r="G117" i="1" s="1"/>
  <c r="F107" i="1"/>
  <c r="F117" i="1" s="1"/>
  <c r="G101" i="1"/>
  <c r="H101" i="1" s="1"/>
  <c r="H86" i="1"/>
  <c r="G86" i="1"/>
  <c r="H83" i="1"/>
  <c r="G83" i="1"/>
  <c r="I78" i="1"/>
  <c r="J78" i="1" s="1"/>
  <c r="K78" i="1" s="1"/>
  <c r="L78" i="1" s="1"/>
  <c r="M78" i="1" s="1"/>
  <c r="N78" i="1" s="1"/>
  <c r="I75" i="1"/>
  <c r="I71" i="1"/>
  <c r="J71" i="1" s="1"/>
  <c r="K71" i="1" s="1"/>
  <c r="L71" i="1" s="1"/>
  <c r="M71" i="1" s="1"/>
  <c r="N71" i="1" s="1"/>
  <c r="H60" i="1"/>
  <c r="H62" i="1" s="1"/>
  <c r="G60" i="1"/>
  <c r="G62" i="1" s="1"/>
  <c r="F60" i="1"/>
  <c r="F62" i="1" s="1"/>
  <c r="F66" i="1" s="1"/>
  <c r="H59" i="1"/>
  <c r="H93" i="1" s="1"/>
  <c r="G59" i="1"/>
  <c r="G93" i="1" s="1"/>
  <c r="F59" i="1"/>
  <c r="F93" i="1" s="1"/>
  <c r="G56" i="1"/>
  <c r="H56" i="1" s="1"/>
  <c r="I56" i="1" s="1"/>
  <c r="J56" i="1" s="1"/>
  <c r="K56" i="1" s="1"/>
  <c r="L56" i="1" s="1"/>
  <c r="M56" i="1" s="1"/>
  <c r="N56" i="1" s="1"/>
  <c r="I51" i="1"/>
  <c r="J51" i="1" s="1"/>
  <c r="I50" i="1"/>
  <c r="J50" i="1" s="1"/>
  <c r="H47" i="1"/>
  <c r="G47" i="1"/>
  <c r="I39" i="1"/>
  <c r="J39" i="1" s="1"/>
  <c r="H38" i="1"/>
  <c r="G38" i="1"/>
  <c r="F38" i="1"/>
  <c r="H35" i="1"/>
  <c r="G35" i="1"/>
  <c r="G7" i="1"/>
  <c r="H7" i="1" s="1"/>
  <c r="I7" i="1" s="1"/>
  <c r="J7" i="1" s="1"/>
  <c r="K7" i="1" s="1"/>
  <c r="L7" i="1" s="1"/>
  <c r="M7" i="1" s="1"/>
  <c r="N7" i="1" s="1"/>
  <c r="J70" i="1" l="1"/>
  <c r="K70" i="1" s="1"/>
  <c r="L70" i="1"/>
  <c r="M70" i="1" s="1"/>
  <c r="N70" i="1" s="1"/>
  <c r="H225" i="1"/>
  <c r="F230" i="1"/>
  <c r="H92" i="1"/>
  <c r="G92" i="1"/>
  <c r="F92" i="1"/>
  <c r="G230" i="1"/>
  <c r="H94" i="1"/>
  <c r="H230" i="1"/>
  <c r="G94" i="1"/>
  <c r="F94" i="1"/>
  <c r="G225" i="1"/>
  <c r="G235" i="1"/>
  <c r="H235" i="1"/>
  <c r="F225" i="1"/>
  <c r="F235" i="1" s="1"/>
  <c r="F213" i="1" a="1"/>
  <c r="F213" i="1" s="1"/>
  <c r="F218" i="1" s="1"/>
  <c r="G213" i="1" a="1"/>
  <c r="G213" i="1" s="1"/>
  <c r="G218" i="1" s="1"/>
  <c r="I27" i="1"/>
  <c r="I16" i="1" s="1"/>
  <c r="H213" i="1" a="1"/>
  <c r="H213" i="1" s="1"/>
  <c r="H218" i="1" s="1"/>
  <c r="G255" i="1"/>
  <c r="G143" i="1"/>
  <c r="G145" i="1" s="1"/>
  <c r="J28" i="1"/>
  <c r="H23" i="1"/>
  <c r="J61" i="1"/>
  <c r="K61" i="1" s="1"/>
  <c r="L61" i="1" s="1"/>
  <c r="M61" i="1" s="1"/>
  <c r="N61" i="1" s="1"/>
  <c r="I58" i="1"/>
  <c r="J58" i="1" s="1"/>
  <c r="K58" i="1" s="1"/>
  <c r="L58" i="1" s="1"/>
  <c r="M58" i="1" s="1"/>
  <c r="N58" i="1" s="1"/>
  <c r="G259" i="1"/>
  <c r="H259" i="1" s="1"/>
  <c r="I259" i="1" s="1"/>
  <c r="J259" i="1" s="1"/>
  <c r="K259" i="1" s="1"/>
  <c r="L259" i="1" s="1"/>
  <c r="J64" i="1"/>
  <c r="K64" i="1" s="1"/>
  <c r="L64" i="1" s="1"/>
  <c r="M64" i="1" s="1"/>
  <c r="N64" i="1" s="1"/>
  <c r="F19" i="1"/>
  <c r="H11" i="1"/>
  <c r="G23" i="1"/>
  <c r="F143" i="1"/>
  <c r="F145" i="1" s="1"/>
  <c r="I38" i="1"/>
  <c r="J38" i="1" s="1"/>
  <c r="G11" i="1"/>
  <c r="G12" i="1"/>
  <c r="H12" i="1"/>
  <c r="H45" i="1"/>
  <c r="G22" i="1"/>
  <c r="H22" i="1"/>
  <c r="F30" i="1"/>
  <c r="I60" i="1"/>
  <c r="J60" i="1" s="1"/>
  <c r="K60" i="1" s="1"/>
  <c r="F41" i="1"/>
  <c r="K51" i="1"/>
  <c r="G46" i="1"/>
  <c r="G34" i="1"/>
  <c r="G66" i="1"/>
  <c r="G19" i="1" s="1"/>
  <c r="H34" i="1"/>
  <c r="H46" i="1"/>
  <c r="H66" i="1"/>
  <c r="I66" i="1" s="1"/>
  <c r="J66" i="1" s="1"/>
  <c r="K66" i="1" s="1"/>
  <c r="L66" i="1" s="1"/>
  <c r="M66" i="1" s="1"/>
  <c r="N66" i="1" s="1"/>
  <c r="L260" i="1" s="1"/>
  <c r="H145" i="1"/>
  <c r="G252" i="1"/>
  <c r="H252" i="1" s="1"/>
  <c r="I252" i="1" s="1"/>
  <c r="J252" i="1" s="1"/>
  <c r="K252" i="1" s="1"/>
  <c r="L252" i="1" s="1"/>
  <c r="K50" i="1"/>
  <c r="K39" i="1"/>
  <c r="L39" i="1" s="1"/>
  <c r="G63" i="1"/>
  <c r="G95" i="1" s="1"/>
  <c r="H63" i="1"/>
  <c r="H95" i="1" s="1"/>
  <c r="F63" i="1"/>
  <c r="F95" i="1" s="1"/>
  <c r="C241" i="1"/>
  <c r="C245" i="1" s="1"/>
  <c r="F53" i="1"/>
  <c r="H255" i="1"/>
  <c r="G33" i="1"/>
  <c r="H33" i="1"/>
  <c r="G45" i="1"/>
  <c r="J75" i="1"/>
  <c r="K75" i="1" s="1"/>
  <c r="I68" i="1" l="1"/>
  <c r="G257" i="1" s="1"/>
  <c r="J27" i="1"/>
  <c r="K27" i="1" s="1"/>
  <c r="L27" i="1" s="1"/>
  <c r="F219" i="1"/>
  <c r="D260" i="1" s="1"/>
  <c r="K38" i="1"/>
  <c r="L38" i="1" s="1"/>
  <c r="J17" i="1"/>
  <c r="K28" i="1" s="1"/>
  <c r="K17" i="1" s="1"/>
  <c r="L28" i="1" s="1"/>
  <c r="L17" i="1" s="1"/>
  <c r="H260" i="1"/>
  <c r="G260" i="1"/>
  <c r="K260" i="1"/>
  <c r="J260" i="1"/>
  <c r="I260" i="1"/>
  <c r="G53" i="1"/>
  <c r="J62" i="1"/>
  <c r="I62" i="1"/>
  <c r="L75" i="1"/>
  <c r="M75" i="1" s="1"/>
  <c r="N75" i="1" s="1"/>
  <c r="H30" i="1"/>
  <c r="H41" i="1"/>
  <c r="G30" i="1"/>
  <c r="M39" i="1"/>
  <c r="N39" i="1" s="1"/>
  <c r="H19" i="1"/>
  <c r="H53" i="1"/>
  <c r="G41" i="1"/>
  <c r="L60" i="1"/>
  <c r="K62" i="1"/>
  <c r="H84" i="1"/>
  <c r="H67" i="1"/>
  <c r="H89" i="1"/>
  <c r="L50" i="1"/>
  <c r="G84" i="1"/>
  <c r="G67" i="1"/>
  <c r="G89" i="1"/>
  <c r="I255" i="1"/>
  <c r="F67" i="1"/>
  <c r="F69" i="1" s="1"/>
  <c r="F72" i="1" s="1"/>
  <c r="F89" i="1"/>
  <c r="L51" i="1"/>
  <c r="F49" i="1" l="1"/>
  <c r="F37" i="1"/>
  <c r="F26" i="1"/>
  <c r="H69" i="1"/>
  <c r="G69" i="1"/>
  <c r="J16" i="1"/>
  <c r="J68" i="1" s="1"/>
  <c r="H257" i="1" s="1"/>
  <c r="G219" i="1"/>
  <c r="E260" i="1" s="1"/>
  <c r="M27" i="1"/>
  <c r="N27" i="1" s="1"/>
  <c r="M38" i="1"/>
  <c r="N38" i="1" s="1"/>
  <c r="M28" i="1"/>
  <c r="M17" i="1" s="1"/>
  <c r="H85" i="1"/>
  <c r="H90" i="1"/>
  <c r="H96" i="1"/>
  <c r="G85" i="1"/>
  <c r="G90" i="1"/>
  <c r="G96" i="1"/>
  <c r="L62" i="1"/>
  <c r="M60" i="1"/>
  <c r="F90" i="1"/>
  <c r="D254" i="1"/>
  <c r="D256" i="1" s="1"/>
  <c r="D258" i="1" s="1"/>
  <c r="D261" i="1" s="1"/>
  <c r="M51" i="1"/>
  <c r="J255" i="1"/>
  <c r="M50" i="1"/>
  <c r="H72" i="1" l="1"/>
  <c r="G72" i="1"/>
  <c r="H219" i="1"/>
  <c r="F260" i="1" s="1"/>
  <c r="K16" i="1"/>
  <c r="N28" i="1"/>
  <c r="N17" i="1" s="1"/>
  <c r="K255" i="1"/>
  <c r="H74" i="1"/>
  <c r="H76" i="1"/>
  <c r="F74" i="1"/>
  <c r="F76" i="1"/>
  <c r="F91" i="1" s="1"/>
  <c r="N51" i="1"/>
  <c r="N50" i="1"/>
  <c r="M62" i="1"/>
  <c r="N60" i="1"/>
  <c r="N62" i="1" s="1"/>
  <c r="G74" i="1"/>
  <c r="G15" i="1" s="1"/>
  <c r="G76" i="1"/>
  <c r="G91" i="1" s="1"/>
  <c r="I57" i="1" l="1"/>
  <c r="J57" i="1" s="1"/>
  <c r="H91" i="1"/>
  <c r="E254" i="1"/>
  <c r="E256" i="1" s="1"/>
  <c r="E258" i="1" s="1"/>
  <c r="E261" i="1" s="1"/>
  <c r="G49" i="1"/>
  <c r="G37" i="1"/>
  <c r="G26" i="1"/>
  <c r="G97" i="1" s="1"/>
  <c r="H49" i="1"/>
  <c r="H37" i="1"/>
  <c r="H97" i="1"/>
  <c r="F254" i="1"/>
  <c r="F256" i="1" s="1"/>
  <c r="F258" i="1" s="1"/>
  <c r="F261" i="1" s="1"/>
  <c r="K68" i="1"/>
  <c r="I257" i="1" s="1"/>
  <c r="L16" i="1"/>
  <c r="L68" i="1" s="1"/>
  <c r="G150" i="1"/>
  <c r="G87" i="1"/>
  <c r="G79" i="1"/>
  <c r="F150" i="1"/>
  <c r="F165" i="1" s="1"/>
  <c r="F79" i="1"/>
  <c r="H150" i="1"/>
  <c r="H87" i="1"/>
  <c r="H79" i="1"/>
  <c r="I59" i="1" l="1"/>
  <c r="I63" i="1" s="1"/>
  <c r="I67" i="1" s="1"/>
  <c r="I69" i="1" s="1"/>
  <c r="I72" i="1" s="1"/>
  <c r="G254" i="1" s="1"/>
  <c r="G256" i="1" s="1"/>
  <c r="G258" i="1" s="1"/>
  <c r="G261" i="1" s="1"/>
  <c r="K57" i="1"/>
  <c r="J59" i="1"/>
  <c r="J63" i="1" s="1"/>
  <c r="J67" i="1" s="1"/>
  <c r="J69" i="1" s="1"/>
  <c r="J72" i="1" s="1"/>
  <c r="G173" i="1"/>
  <c r="G208" i="1" s="1"/>
  <c r="G165" i="1"/>
  <c r="H165" i="1"/>
  <c r="H173" i="1" s="1"/>
  <c r="H208" i="1" s="1"/>
  <c r="F173" i="1"/>
  <c r="F208" i="1" s="1"/>
  <c r="L255" i="1"/>
  <c r="M16" i="1"/>
  <c r="J257" i="1"/>
  <c r="N16" i="1"/>
  <c r="N68" i="1" s="1"/>
  <c r="G263" i="1" l="1"/>
  <c r="H254" i="1"/>
  <c r="H256" i="1" s="1"/>
  <c r="H258" i="1" s="1"/>
  <c r="H261" i="1" s="1"/>
  <c r="H263" i="1" s="1"/>
  <c r="J73" i="1"/>
  <c r="J76" i="1" s="1"/>
  <c r="J79" i="1" s="1"/>
  <c r="K59" i="1"/>
  <c r="K63" i="1" s="1"/>
  <c r="K67" i="1" s="1"/>
  <c r="K69" i="1" s="1"/>
  <c r="K72" i="1" s="1"/>
  <c r="K73" i="1" s="1"/>
  <c r="K74" i="1" s="1"/>
  <c r="L57" i="1"/>
  <c r="C274" i="1"/>
  <c r="G274" i="1"/>
  <c r="G276" i="1" s="1"/>
  <c r="G278" i="1" s="1"/>
  <c r="M68" i="1"/>
  <c r="K257" i="1" s="1"/>
  <c r="L257" i="1"/>
  <c r="K76" i="1" l="1"/>
  <c r="K79" i="1" s="1"/>
  <c r="J74" i="1"/>
  <c r="I254" i="1"/>
  <c r="I256" i="1" s="1"/>
  <c r="I258" i="1" s="1"/>
  <c r="I261" i="1" s="1"/>
  <c r="I263" i="1" s="1"/>
  <c r="M57" i="1"/>
  <c r="L59" i="1"/>
  <c r="L63" i="1" s="1"/>
  <c r="L67" i="1" s="1"/>
  <c r="L69" i="1" s="1"/>
  <c r="L72" i="1" s="1"/>
  <c r="L73" i="1" s="1"/>
  <c r="N57" i="1" l="1"/>
  <c r="N59" i="1" s="1"/>
  <c r="N63" i="1" s="1"/>
  <c r="N67" i="1" s="1"/>
  <c r="N69" i="1" s="1"/>
  <c r="N72" i="1" s="1"/>
  <c r="L254" i="1" s="1"/>
  <c r="L256" i="1" s="1"/>
  <c r="M59" i="1"/>
  <c r="M63" i="1" s="1"/>
  <c r="M67" i="1" s="1"/>
  <c r="M69" i="1" s="1"/>
  <c r="M72" i="1" s="1"/>
  <c r="M73" i="1" s="1"/>
  <c r="M74" i="1" s="1"/>
  <c r="J254" i="1"/>
  <c r="J256" i="1" s="1"/>
  <c r="J258" i="1" s="1"/>
  <c r="J261" i="1" s="1"/>
  <c r="J263" i="1" s="1"/>
  <c r="L74" i="1"/>
  <c r="L76" i="1"/>
  <c r="L79" i="1" s="1"/>
  <c r="N73" i="1" l="1"/>
  <c r="N76" i="1" s="1"/>
  <c r="N79" i="1" s="1"/>
  <c r="M76" i="1"/>
  <c r="M79" i="1" s="1"/>
  <c r="K254" i="1"/>
  <c r="K256" i="1" s="1"/>
  <c r="K258" i="1" s="1"/>
  <c r="K261" i="1" s="1"/>
  <c r="K263" i="1" s="1"/>
  <c r="L258" i="1"/>
  <c r="Q254" i="1" s="1"/>
  <c r="L262" i="1" s="1"/>
  <c r="C268" i="1" s="1"/>
  <c r="N74" i="1"/>
  <c r="L261" i="1" l="1"/>
  <c r="C267" i="1" l="1"/>
  <c r="C269" i="1" s="1"/>
  <c r="L263" i="1"/>
  <c r="D267" i="1" l="1"/>
  <c r="D268" i="1"/>
  <c r="D269" i="1" s="1"/>
  <c r="C273" i="1"/>
  <c r="C276" i="1" s="1"/>
  <c r="C278" i="1" s="1"/>
  <c r="K274" i="1" l="1"/>
  <c r="K275" i="1" s="1"/>
  <c r="D286" i="1"/>
  <c r="G4" i="1"/>
  <c r="I73" i="1" l="1"/>
  <c r="I76" i="1" s="1"/>
  <c r="I79" i="1" s="1"/>
  <c r="I7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Johann</author>
  </authors>
  <commentList>
    <comment ref="B11" authorId="0" shapeId="0" xr:uid="{F97FA0F4-4843-47FD-B662-F203BD6B1CED}">
      <text>
        <r>
          <rPr>
            <b/>
            <sz val="9"/>
            <color indexed="81"/>
            <rFont val="Tahoma"/>
            <family val="2"/>
          </rPr>
          <t>Johann:</t>
        </r>
        <r>
          <rPr>
            <sz val="9"/>
            <color indexed="81"/>
            <rFont val="Tahoma"/>
            <family val="2"/>
          </rPr>
          <t xml:space="preserve">
Driven by account- and transaction-based fees.
Revenue = Price x Sales</t>
        </r>
      </text>
    </comment>
    <comment ref="I11" authorId="0" shapeId="0" xr:uid="{6670A25E-7C38-48C2-A587-9E56BF1B62A8}">
      <text>
        <r>
          <rPr>
            <b/>
            <sz val="9"/>
            <color indexed="81"/>
            <rFont val="Tahoma"/>
            <family val="2"/>
          </rPr>
          <t>Johann:</t>
        </r>
        <r>
          <rPr>
            <sz val="9"/>
            <color indexed="81"/>
            <rFont val="Tahoma"/>
            <family val="2"/>
          </rPr>
          <t xml:space="preserve">
"Fiserv now expects organic revenue growth of 3.5 to 4%" , based on FISERV Earnings call 2025.</t>
        </r>
      </text>
    </comment>
    <comment ref="I12" authorId="0" shapeId="0" xr:uid="{4EA95791-9A51-4A8D-833A-99B892223F15}">
      <text>
        <r>
          <rPr>
            <b/>
            <sz val="9"/>
            <color indexed="81"/>
            <rFont val="Tahoma"/>
            <family val="2"/>
          </rPr>
          <t>Johann:</t>
        </r>
        <r>
          <rPr>
            <sz val="9"/>
            <color indexed="81"/>
            <rFont val="Tahoma"/>
            <family val="2"/>
          </rPr>
          <t xml:space="preserve">
Large acquisitions will impact transaction related efficiency, and integration costs.</t>
        </r>
      </text>
    </comment>
    <comment ref="B18" authorId="0" shapeId="0" xr:uid="{3D4CFFCA-FD69-472E-9E44-F86012F49833}">
      <text>
        <r>
          <rPr>
            <b/>
            <sz val="9"/>
            <color indexed="81"/>
            <rFont val="Tahoma"/>
            <family val="2"/>
          </rPr>
          <t xml:space="preserve">Johann:
"Our capital expenditures were approximately 7% and 8% of our total revenue in 2023 and 2022, respectively." (FISERVE 10K)
</t>
        </r>
      </text>
    </comment>
    <comment ref="B19" authorId="0" shapeId="0" xr:uid="{E182BC3E-B57E-43ED-B7E3-0DFEA5A29B3F}">
      <text>
        <r>
          <rPr>
            <b/>
            <sz val="9"/>
            <color indexed="81"/>
            <rFont val="Tahoma"/>
            <family val="2"/>
          </rPr>
          <t>Johann:</t>
        </r>
        <r>
          <rPr>
            <sz val="9"/>
            <color indexed="81"/>
            <rFont val="Tahoma"/>
            <family val="2"/>
          </rPr>
          <t xml:space="preserve">
Prepaid expenses represent advance payments for goods and services to be consumed in the future such as maintenance, postage and insurance.</t>
        </r>
      </text>
    </comment>
    <comment ref="B22" authorId="0" shapeId="0" xr:uid="{CCFBF7A7-D75B-474E-97DC-1D93496413E3}">
      <text>
        <r>
          <rPr>
            <b/>
            <sz val="9"/>
            <color indexed="81"/>
            <rFont val="Tahoma"/>
            <family val="2"/>
          </rPr>
          <t>Johann:</t>
        </r>
        <r>
          <rPr>
            <sz val="9"/>
            <color indexed="81"/>
            <rFont val="Tahoma"/>
            <family val="2"/>
          </rPr>
          <t xml:space="preserve">
Driven by account- and transaction-based fees.
Revenue = Price x Sales</t>
        </r>
      </text>
    </comment>
    <comment ref="I22" authorId="0" shapeId="0" xr:uid="{641F214E-2FAB-4F31-8AF6-F8B884CA23B3}">
      <text>
        <r>
          <rPr>
            <b/>
            <sz val="9"/>
            <color indexed="81"/>
            <rFont val="Tahoma"/>
            <family val="2"/>
          </rPr>
          <t>Johann:</t>
        </r>
        <r>
          <rPr>
            <sz val="9"/>
            <color indexed="81"/>
            <rFont val="Tahoma"/>
            <family val="2"/>
          </rPr>
          <t xml:space="preserve">
"Fiserv now expects organic revenue growth of 3.5 to 4%" , based on FISERV Earnings call 2025.</t>
        </r>
      </text>
    </comment>
    <comment ref="I23" authorId="0" shapeId="0" xr:uid="{709EE622-A90D-48BC-B8EC-BFA1703644EF}">
      <text>
        <r>
          <rPr>
            <b/>
            <sz val="9"/>
            <color indexed="81"/>
            <rFont val="Tahoma"/>
            <family val="2"/>
          </rPr>
          <t>Johann:</t>
        </r>
        <r>
          <rPr>
            <sz val="9"/>
            <color indexed="81"/>
            <rFont val="Tahoma"/>
            <family val="2"/>
          </rPr>
          <t xml:space="preserve">
Large acquisitions will impact transaction related efficiency, and integration costs.</t>
        </r>
      </text>
    </comment>
    <comment ref="B29" authorId="0" shapeId="0" xr:uid="{2CA4D4B7-2946-44FB-997A-6FE7FE421F7C}">
      <text>
        <r>
          <rPr>
            <b/>
            <sz val="9"/>
            <color indexed="81"/>
            <rFont val="Tahoma"/>
            <family val="2"/>
          </rPr>
          <t xml:space="preserve">Johann:
"Our capital expenditures were approximately 7% and 8% of our total revenue in 2023 and 2022, respectively." (FISERVE 10K)
</t>
        </r>
      </text>
    </comment>
    <comment ref="B30" authorId="0" shapeId="0" xr:uid="{5AB3049B-99C9-4CCF-8A2F-E77B2C2BEB38}">
      <text>
        <r>
          <rPr>
            <b/>
            <sz val="9"/>
            <color indexed="81"/>
            <rFont val="Tahoma"/>
            <family val="2"/>
          </rPr>
          <t>Johann:</t>
        </r>
        <r>
          <rPr>
            <sz val="9"/>
            <color indexed="81"/>
            <rFont val="Tahoma"/>
            <family val="2"/>
          </rPr>
          <t xml:space="preserve">
Prepaid expenses represent advance payments for goods and services to be consumed in the future such as maintenance, postage and insurance.</t>
        </r>
      </text>
    </comment>
    <comment ref="B33" authorId="0" shapeId="0" xr:uid="{1A11AD6A-042F-45ED-9B9C-5D05135376EC}">
      <text>
        <r>
          <rPr>
            <b/>
            <sz val="9"/>
            <color indexed="81"/>
            <rFont val="Tahoma"/>
            <family val="2"/>
          </rPr>
          <t>Johann:</t>
        </r>
        <r>
          <rPr>
            <sz val="9"/>
            <color indexed="81"/>
            <rFont val="Tahoma"/>
            <family val="2"/>
          </rPr>
          <t xml:space="preserve">
Driven by account- and transaction-based fees.
Revenue = Price x Sales</t>
        </r>
      </text>
    </comment>
    <comment ref="I33" authorId="0" shapeId="0" xr:uid="{ED5D8116-3E39-4B59-B665-91FD83F12D6C}">
      <text>
        <r>
          <rPr>
            <b/>
            <sz val="9"/>
            <color indexed="81"/>
            <rFont val="Tahoma"/>
            <family val="2"/>
          </rPr>
          <t>Johann:</t>
        </r>
        <r>
          <rPr>
            <sz val="9"/>
            <color indexed="81"/>
            <rFont val="Tahoma"/>
            <family val="2"/>
          </rPr>
          <t xml:space="preserve">
"Fiserv now expects organic revenue growth of 3.5 to 4%" , based on FISERV Earnings call 2025.</t>
        </r>
      </text>
    </comment>
    <comment ref="I34" authorId="0" shapeId="0" xr:uid="{FA7B47FF-A12C-44EF-A868-13086A46BA88}">
      <text>
        <r>
          <rPr>
            <b/>
            <sz val="9"/>
            <color indexed="81"/>
            <rFont val="Tahoma"/>
            <family val="2"/>
          </rPr>
          <t>Johann:</t>
        </r>
        <r>
          <rPr>
            <sz val="9"/>
            <color indexed="81"/>
            <rFont val="Tahoma"/>
            <family val="2"/>
          </rPr>
          <t xml:space="preserve">
Large acquisitions will impact transaction related efficiency, and integration costs.</t>
        </r>
      </text>
    </comment>
    <comment ref="B40" authorId="0" shapeId="0" xr:uid="{E2D34949-BDAB-426E-8C61-E7466A9FFFE4}">
      <text>
        <r>
          <rPr>
            <b/>
            <sz val="9"/>
            <color indexed="81"/>
            <rFont val="Tahoma"/>
            <family val="2"/>
          </rPr>
          <t xml:space="preserve">Johann:
"Our capital expenditures were approximately 7% and 8% of our total revenue in 2023 and 2022, respectively." (FISERVE 10K)
</t>
        </r>
      </text>
    </comment>
    <comment ref="B41" authorId="0" shapeId="0" xr:uid="{F6150A97-6F23-481C-8721-E8622400BA30}">
      <text>
        <r>
          <rPr>
            <b/>
            <sz val="9"/>
            <color indexed="81"/>
            <rFont val="Tahoma"/>
            <family val="2"/>
          </rPr>
          <t>Johann:</t>
        </r>
        <r>
          <rPr>
            <sz val="9"/>
            <color indexed="81"/>
            <rFont val="Tahoma"/>
            <family val="2"/>
          </rPr>
          <t xml:space="preserve">
Prepaid expenses represent advance payments for goods and services to be consumed in the future such as maintenance, postage and insurance.</t>
        </r>
      </text>
    </comment>
    <comment ref="B45" authorId="0" shapeId="0" xr:uid="{A74F0ABD-B50A-46A9-B65E-B92F3F62D297}">
      <text>
        <r>
          <rPr>
            <b/>
            <sz val="9"/>
            <color indexed="81"/>
            <rFont val="Tahoma"/>
            <family val="2"/>
          </rPr>
          <t>Johann:</t>
        </r>
        <r>
          <rPr>
            <sz val="9"/>
            <color indexed="81"/>
            <rFont val="Tahoma"/>
            <family val="2"/>
          </rPr>
          <t xml:space="preserve">
Driven by account- and transaction-based fees.
Revenue = Price x Sales</t>
        </r>
      </text>
    </comment>
    <comment ref="I45" authorId="0" shapeId="0" xr:uid="{EA5A5589-E73F-4616-B740-3E28F11713F5}">
      <text>
        <r>
          <rPr>
            <b/>
            <sz val="9"/>
            <color indexed="81"/>
            <rFont val="Tahoma"/>
            <family val="2"/>
          </rPr>
          <t>Johann:</t>
        </r>
        <r>
          <rPr>
            <sz val="9"/>
            <color indexed="81"/>
            <rFont val="Tahoma"/>
            <family val="2"/>
          </rPr>
          <t xml:space="preserve">
"Fiserv now expects organic revenue growth of 3.5 to 4%" , based on FISERV Earnings call 2025.</t>
        </r>
      </text>
    </comment>
    <comment ref="I46" authorId="0" shapeId="0" xr:uid="{5B27B468-A607-48E5-9F19-37E006985E77}">
      <text>
        <r>
          <rPr>
            <b/>
            <sz val="9"/>
            <color indexed="81"/>
            <rFont val="Tahoma"/>
            <family val="2"/>
          </rPr>
          <t>Johann:</t>
        </r>
        <r>
          <rPr>
            <sz val="9"/>
            <color indexed="81"/>
            <rFont val="Tahoma"/>
            <family val="2"/>
          </rPr>
          <t xml:space="preserve">
Large acquisitions will impact transaction related efficiency, and integration costs.</t>
        </r>
      </text>
    </comment>
    <comment ref="B52" authorId="0" shapeId="0" xr:uid="{B0FCE626-7F16-477C-925A-3176E5BC3482}">
      <text>
        <r>
          <rPr>
            <b/>
            <sz val="9"/>
            <color indexed="81"/>
            <rFont val="Tahoma"/>
            <family val="2"/>
          </rPr>
          <t xml:space="preserve">Johann:
"Our capital expenditures were approximately 7% and 8% of our total revenue in 2023 and 2022, respectively." (FISERVE 10K)
</t>
        </r>
      </text>
    </comment>
    <comment ref="B53" authorId="0" shapeId="0" xr:uid="{88DE3220-43F8-4365-85EC-27FE7CA3B33A}">
      <text>
        <r>
          <rPr>
            <b/>
            <sz val="9"/>
            <color indexed="81"/>
            <rFont val="Tahoma"/>
            <family val="2"/>
          </rPr>
          <t>Johann:</t>
        </r>
        <r>
          <rPr>
            <sz val="9"/>
            <color indexed="81"/>
            <rFont val="Tahoma"/>
            <family val="2"/>
          </rPr>
          <t xml:space="preserve">
Prepaid expenses represent advance payments for goods and services to be consumed in the future such as maintenance, postage and insurance.</t>
        </r>
      </text>
    </comment>
    <comment ref="I78" authorId="0" shapeId="0" xr:uid="{FEB046C6-C848-4D64-B910-CC87A03C2E0B}">
      <text>
        <r>
          <rPr>
            <b/>
            <sz val="9"/>
            <color indexed="81"/>
            <rFont val="Tahoma"/>
            <family val="2"/>
          </rPr>
          <t>Johann:</t>
        </r>
        <r>
          <rPr>
            <sz val="9"/>
            <color indexed="81"/>
            <rFont val="Tahoma"/>
            <family val="2"/>
          </rPr>
          <t xml:space="preserve">
"The company repurchased 7.2 million shares of common stock for $1.0 billion in the third quarter and 29.1 million shares of common stock for $5.4 billion in the first nine months of 2025." (FISERV Earnings Call 2025)</t>
        </r>
      </text>
    </comment>
    <comment ref="B104" authorId="0" shapeId="0" xr:uid="{CEAC9DC2-0AF8-4790-A19F-E215193AD1E7}">
      <text>
        <r>
          <rPr>
            <b/>
            <sz val="9"/>
            <color indexed="81"/>
            <rFont val="Tahoma"/>
            <family val="2"/>
          </rPr>
          <t>Johann:</t>
        </r>
        <r>
          <rPr>
            <sz val="9"/>
            <color indexed="81"/>
            <rFont val="Tahoma"/>
            <family val="2"/>
          </rPr>
          <t xml:space="preserve">
Prepaid expenses represent advance payments for goods and services to be consumed in the future such as maintenance, postage and insurance. 
The Company maintains certain leasing receivables associated with its POS terminal leasing businesses. Leasing receivables are included in prepaid expenses and other current assets (current portion) and other long-term assets (noncurrent portion) in the consolidated balance sheets.</t>
        </r>
      </text>
    </comment>
    <comment ref="B105" authorId="0" shapeId="0" xr:uid="{7DEF653E-0ABC-49C9-8B80-5857F11D9F7C}">
      <text>
        <r>
          <rPr>
            <b/>
            <sz val="9"/>
            <color indexed="81"/>
            <rFont val="Tahoma"/>
            <family val="2"/>
          </rPr>
          <t>Johann:</t>
        </r>
        <r>
          <rPr>
            <sz val="9"/>
            <color indexed="81"/>
            <rFont val="Tahoma"/>
            <family val="2"/>
          </rPr>
          <t xml:space="preserve">
Settlement assets and obligations represent intermediary balances arising from the settlement process, which involves the transfer of funds among card issuers, payment networks, processors, merchants and consumers, and collateral amounts held to manage merchant credit risk, primarily associated with the Company’s merchant acquiring services."</t>
        </r>
      </text>
    </comment>
    <comment ref="B114" authorId="0" shapeId="0" xr:uid="{E640291E-E328-4B97-A2B7-0ECDA8612C58}">
      <text>
        <r>
          <rPr>
            <b/>
            <sz val="9"/>
            <color indexed="81"/>
            <rFont val="Tahoma"/>
            <family val="2"/>
          </rPr>
          <t>Johann:</t>
        </r>
        <r>
          <rPr>
            <sz val="9"/>
            <color indexed="81"/>
            <rFont val="Tahoma"/>
            <family val="2"/>
          </rPr>
          <t xml:space="preserve">
The Company incurs incremental costs to obtain a contract as well as costs to fulfill contracts with customers that are expected to be recovered. These costs consist of sales commissions incurred only if a contract is obtained, and customer conversion or implementation related costs</t>
        </r>
      </text>
    </comment>
    <comment ref="B223" authorId="0" shapeId="0" xr:uid="{4C92B19E-8117-4C04-B50C-0E2C90546168}">
      <text>
        <r>
          <rPr>
            <b/>
            <sz val="9"/>
            <color indexed="81"/>
            <rFont val="Tahoma"/>
            <family val="2"/>
          </rPr>
          <t>Johann:</t>
        </r>
        <r>
          <rPr>
            <sz val="9"/>
            <color indexed="81"/>
            <rFont val="Tahoma"/>
            <family val="2"/>
          </rPr>
          <t xml:space="preserve">
Prepaid expenses represent advance payments for goods and services to be consumed in the future such as maintenance, postage and insurance. 
The Company maintains certain leasing receivables associated with its POS terminal leasing businesses. Leasing receivables are included in prepaid expenses and other current assets (current portion) and other long-term assets (noncurrent portion) in the consolidated balance sheets.</t>
        </r>
      </text>
    </comment>
    <comment ref="B243" authorId="0" shapeId="0" xr:uid="{D500273E-B7C3-4F42-8956-0A9D04AF9B6A}">
      <text>
        <r>
          <rPr>
            <b/>
            <sz val="9"/>
            <color indexed="81"/>
            <rFont val="Tahoma"/>
            <family val="2"/>
          </rPr>
          <t>Johann:</t>
        </r>
        <r>
          <rPr>
            <sz val="9"/>
            <color indexed="81"/>
            <rFont val="Tahoma"/>
            <family val="2"/>
          </rPr>
          <t xml:space="preserve">
" The company completed a public offering of $2.0 billion of 5-year and 10-year senior notes with a weighted average coupon rate of 4.90%."</t>
        </r>
      </text>
    </comment>
    <comment ref="B248" authorId="0" shapeId="0" xr:uid="{BFE8521B-CB73-4FF0-8329-3C3560E32B3A}">
      <text>
        <r>
          <rPr>
            <b/>
            <sz val="9"/>
            <color indexed="81"/>
            <rFont val="Tahoma"/>
            <family val="2"/>
          </rPr>
          <t>Johann:</t>
        </r>
        <r>
          <rPr>
            <sz val="9"/>
            <color indexed="81"/>
            <rFont val="Tahoma"/>
            <family val="2"/>
          </rPr>
          <t xml:space="preserve">
Figure is stated in ones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<sst xmlns="http://schemas.openxmlformats.org/spreadsheetml/2006/main" count="364" uniqueCount="266">
  <si>
    <t>Forecast</t>
  </si>
  <si>
    <t>Actuals</t>
  </si>
  <si>
    <t>Processing and services</t>
  </si>
  <si>
    <t>Product</t>
  </si>
  <si>
    <t>Total Revenue</t>
  </si>
  <si>
    <t>Cost of processing and services</t>
  </si>
  <si>
    <t>Cost of product</t>
  </si>
  <si>
    <t>SG&amp;A</t>
  </si>
  <si>
    <t>Net gain on sale of business and other assets</t>
  </si>
  <si>
    <t>Gross Profit</t>
  </si>
  <si>
    <t>EBITDA</t>
  </si>
  <si>
    <t>Interest expense</t>
  </si>
  <si>
    <t>Other Expense</t>
  </si>
  <si>
    <t>EBIT</t>
  </si>
  <si>
    <t>Income Tax Provision</t>
  </si>
  <si>
    <t>Net income</t>
  </si>
  <si>
    <t xml:space="preserve">Outstanding Shares </t>
  </si>
  <si>
    <t>EPS</t>
  </si>
  <si>
    <t>-</t>
  </si>
  <si>
    <t>Financial Ratios:</t>
  </si>
  <si>
    <t>Revenue Y/Y</t>
  </si>
  <si>
    <t>EBITDA Y/Y</t>
  </si>
  <si>
    <t>Net income Y/Y</t>
  </si>
  <si>
    <t>Gross Profit Y/Y</t>
  </si>
  <si>
    <t>SG&amp;A Y/Y</t>
  </si>
  <si>
    <t xml:space="preserve">(Loss) income from investments in unconsolidated affiliates </t>
  </si>
  <si>
    <t>Balance Sheet</t>
  </si>
  <si>
    <t>Cash and cash equivalents</t>
  </si>
  <si>
    <t>Trade Accounts Receivable</t>
  </si>
  <si>
    <t>Prepaid expenses and other assets</t>
  </si>
  <si>
    <t>Settlement Assets</t>
  </si>
  <si>
    <t>Total Current Assets</t>
  </si>
  <si>
    <t>PP&amp;E</t>
  </si>
  <si>
    <t>Customer Relationships</t>
  </si>
  <si>
    <t>Other intangible assets</t>
  </si>
  <si>
    <t>Goodwill</t>
  </si>
  <si>
    <t>Contract Costs</t>
  </si>
  <si>
    <t>Investments in unconsolidated affiliates</t>
  </si>
  <si>
    <t xml:space="preserve">Other long-term assets </t>
  </si>
  <si>
    <t>Total Assets</t>
  </si>
  <si>
    <t>Accounts Payable and other current liabilities</t>
  </si>
  <si>
    <t>Short-term and current maturities of long-term debt</t>
  </si>
  <si>
    <t>Contract liabilities</t>
  </si>
  <si>
    <t>Settlement obligations</t>
  </si>
  <si>
    <t>Total Current Liabilities</t>
  </si>
  <si>
    <t>Long-Term Debt</t>
  </si>
  <si>
    <t>Deferred income taxes</t>
  </si>
  <si>
    <t>Long-term contract liabilities</t>
  </si>
  <si>
    <t>Other long-term liabilities</t>
  </si>
  <si>
    <t>Total Liabilities</t>
  </si>
  <si>
    <t>Redeemable noncontrolling interest</t>
  </si>
  <si>
    <t>Preferred stock</t>
  </si>
  <si>
    <t>Common stock : 784 million shares issued</t>
  </si>
  <si>
    <t>Additional paid-in capital</t>
  </si>
  <si>
    <t>Accumulated other comprehensive loss</t>
  </si>
  <si>
    <t>Retained earnings</t>
  </si>
  <si>
    <t>Treasury stock, at cost, 220 million and 190 million shares</t>
  </si>
  <si>
    <t>Total Shareholder's equity</t>
  </si>
  <si>
    <t xml:space="preserve">Non controlling interests </t>
  </si>
  <si>
    <t>Total Equity</t>
  </si>
  <si>
    <t>Total Liabilities and Equity</t>
  </si>
  <si>
    <t>Current Assets</t>
  </si>
  <si>
    <t>Long Term Assets</t>
  </si>
  <si>
    <t>Income Statement</t>
  </si>
  <si>
    <t>($ in millions unless otherwise stated)</t>
  </si>
  <si>
    <t>Model NI</t>
  </si>
  <si>
    <t>D&amp;A</t>
  </si>
  <si>
    <t>Cash Flow</t>
  </si>
  <si>
    <t>Amortization of acquisition-related intangible assets</t>
  </si>
  <si>
    <t>Amortization of financing costs and debt discounts</t>
  </si>
  <si>
    <t>Share-based compensation</t>
  </si>
  <si>
    <t>Net gain on sale of businesses</t>
  </si>
  <si>
    <t>Income (loss) from investments in unconsolidated affiliates</t>
  </si>
  <si>
    <t>Distributions from unconsolidated affiliates</t>
  </si>
  <si>
    <t>Non-cash settlement charge for terminated pension plans</t>
  </si>
  <si>
    <t>Non-cash foreign currency exchange loss</t>
  </si>
  <si>
    <t>Other operating activities</t>
  </si>
  <si>
    <t>Contract costs</t>
  </si>
  <si>
    <t>AP</t>
  </si>
  <si>
    <t>Net cash provided by operating activities</t>
  </si>
  <si>
    <t>Trade accounts receivable</t>
  </si>
  <si>
    <t>Balance</t>
  </si>
  <si>
    <t>Cash flows from operating activities:</t>
  </si>
  <si>
    <t>Cash flows from financing activities:</t>
  </si>
  <si>
    <t>Cash flows from investing activities:</t>
  </si>
  <si>
    <t>CAPEX, including capitzalized software and other intangibles</t>
  </si>
  <si>
    <t>Nett proceeds from sale of businesses and other assets</t>
  </si>
  <si>
    <t>Merchant cash advances, net</t>
  </si>
  <si>
    <t xml:space="preserve">Payments for acquisition of businesses, net of cash acquired </t>
  </si>
  <si>
    <t>Purchases of investments</t>
  </si>
  <si>
    <t>Proceeds from sale of investments</t>
  </si>
  <si>
    <t>Other investing activities</t>
  </si>
  <si>
    <t>Net cash provided  in investing activities</t>
  </si>
  <si>
    <t>Debt proceeds</t>
  </si>
  <si>
    <t>Debt repayments</t>
  </si>
  <si>
    <t>Net borrowings from (repayments of) commercial paper and short-term borrowings</t>
  </si>
  <si>
    <t>Payments of debt financing costs</t>
  </si>
  <si>
    <t>Proceeds from issuance of treasury stock</t>
  </si>
  <si>
    <t>Purchases of treasury stock, including employee shares withheld for tax obligations</t>
  </si>
  <si>
    <t>Settlement activity, net</t>
  </si>
  <si>
    <t>Distributions paid to NCI and redeemable NCI</t>
  </si>
  <si>
    <t>Payment to acquire NCI of consolidated subsidiary</t>
  </si>
  <si>
    <t>Payments of acquisition-related contigent consideration</t>
  </si>
  <si>
    <t>Other financing activities</t>
  </si>
  <si>
    <t>Net cash provided by financing activities:</t>
  </si>
  <si>
    <t xml:space="preserve">Effect of FOREX </t>
  </si>
  <si>
    <t>Net change in cash and cash equivalents</t>
  </si>
  <si>
    <t>Assumptions &amp; Drivers</t>
  </si>
  <si>
    <t>All figures in USD thousands unless indicated</t>
  </si>
  <si>
    <t>COGS</t>
  </si>
  <si>
    <t>Corporate tax rate</t>
  </si>
  <si>
    <t>CAPEX</t>
  </si>
  <si>
    <t>COGS Growth  Y/Y</t>
  </si>
  <si>
    <t>SG&amp;A Growth Y/Y</t>
  </si>
  <si>
    <t>After-tax income</t>
  </si>
  <si>
    <t>Revenue Growth Y/Y</t>
  </si>
  <si>
    <t>Debt Ratio</t>
  </si>
  <si>
    <t>Equity Ratio</t>
  </si>
  <si>
    <t>7.2 million shares of common stock for $1.0 billion in the third quarter and 29.1 million shares of common stock for $5.4 billion in the first nine months of 2025.</t>
  </si>
  <si>
    <t>The company completed a public offering of $2.0 billion of 5-year and 10-year senior notes with a weighted average coupon rate of 4.90%.</t>
  </si>
  <si>
    <t>available borrowing capacity to $8.0 billion through August 2030.</t>
  </si>
  <si>
    <t>Acquisitions</t>
  </si>
  <si>
    <t>StoneCastle enables its network of depository institutions to easily access stable, cost-efficient deposit funding.</t>
  </si>
  <si>
    <t xml:space="preserve"> The company also entered into a definitive agreement to acquire StoneCastle Cash Management</t>
  </si>
  <si>
    <t>In September 2025, the company acquired CardFree, Inc., an all-in-one platform delivering integrated order, payment and loyalty solutions for merchants</t>
  </si>
  <si>
    <t> Smith Consulting Group, LLC business, an operational consulting service utilized by community banks and credit unions.</t>
  </si>
  <si>
    <t>he Toronto-Dominion Bank’s merchant processing business in Canada, which expands the footprint of the company’s Clover® platform.</t>
  </si>
  <si>
    <t>The company also signed a multi-year strategic managed services program agreement with TD Bank to utilize the company’s technology, including Clover, within the TD Bank Merchant Solutions business.</t>
  </si>
  <si>
    <t>Cost of Processing Ratio</t>
  </si>
  <si>
    <t>Cost of Product Ratio</t>
  </si>
  <si>
    <t>Product Revenue Margin</t>
  </si>
  <si>
    <t>Processing Revenue Margin</t>
  </si>
  <si>
    <t>Interest Coverage Ratio</t>
  </si>
  <si>
    <t>Depreciation &amp; Ammortization</t>
  </si>
  <si>
    <t>Depreciation &amp; Amortization</t>
  </si>
  <si>
    <t>Debt issuance repayment</t>
  </si>
  <si>
    <t>CAPEX (% of Revenue)</t>
  </si>
  <si>
    <t>Model changes in working capital:</t>
  </si>
  <si>
    <t>10K changes in working capital:</t>
  </si>
  <si>
    <t>Other current assets</t>
  </si>
  <si>
    <t>Discounted Cash Flow</t>
  </si>
  <si>
    <t>DCF Model</t>
  </si>
  <si>
    <t>Cost of Debt</t>
  </si>
  <si>
    <t>Cost of Equity</t>
  </si>
  <si>
    <t>Tax Rate</t>
  </si>
  <si>
    <t>Perpetual Growth Rate</t>
  </si>
  <si>
    <t>Current Price</t>
  </si>
  <si>
    <t>Shares outstanding</t>
  </si>
  <si>
    <t>Assumptions</t>
  </si>
  <si>
    <t>EBT</t>
  </si>
  <si>
    <t>Interest</t>
  </si>
  <si>
    <t>Deperation and Ammortization</t>
  </si>
  <si>
    <t>NWC</t>
  </si>
  <si>
    <t>Unleverred FCF</t>
  </si>
  <si>
    <t>Entry/Exit</t>
  </si>
  <si>
    <t>NET FCF</t>
  </si>
  <si>
    <t>IRR</t>
  </si>
  <si>
    <t>Operating Expenses</t>
  </si>
  <si>
    <t>Working Capital (% of OPEX)</t>
  </si>
  <si>
    <t>Termianl Value</t>
  </si>
  <si>
    <t>Perpetual Growth</t>
  </si>
  <si>
    <t>EBITDA multiple</t>
  </si>
  <si>
    <t>Enterprise Value</t>
  </si>
  <si>
    <t>Cash</t>
  </si>
  <si>
    <t>Debt</t>
  </si>
  <si>
    <t>EBITDA Multiple</t>
  </si>
  <si>
    <t>Equity Value</t>
  </si>
  <si>
    <t>Equity Value/Share</t>
  </si>
  <si>
    <t>Intrinsic Value</t>
  </si>
  <si>
    <t>Market Value</t>
  </si>
  <si>
    <t>Market Cap</t>
  </si>
  <si>
    <t>Rate of Retun</t>
  </si>
  <si>
    <t>Share price</t>
  </si>
  <si>
    <t>Target Price</t>
  </si>
  <si>
    <t>Johann Somosa</t>
  </si>
  <si>
    <t>Fiserv Inc.</t>
  </si>
  <si>
    <t>Share Price</t>
  </si>
  <si>
    <t>Live Case</t>
  </si>
  <si>
    <t>Worst Case</t>
  </si>
  <si>
    <t>Best Case</t>
  </si>
  <si>
    <t>Cases</t>
  </si>
  <si>
    <t xml:space="preserve">FISERV's 2025 Expectations </t>
  </si>
  <si>
    <t>Supporting Schedule</t>
  </si>
  <si>
    <t>Working Capital Schedule</t>
  </si>
  <si>
    <t>Changes in NWC</t>
  </si>
  <si>
    <t>Net Working Capital (NWC)</t>
  </si>
  <si>
    <t>Increased credit borrowing</t>
  </si>
  <si>
    <t>Increased finance</t>
  </si>
  <si>
    <t>Shares buyback program</t>
  </si>
  <si>
    <t>Fiserv</t>
  </si>
  <si>
    <t>Business</t>
  </si>
  <si>
    <t>Enterprise</t>
  </si>
  <si>
    <t>Processing</t>
  </si>
  <si>
    <t>Merchants</t>
  </si>
  <si>
    <t>Financial</t>
  </si>
  <si>
    <t>Small business</t>
  </si>
  <si>
    <t>Digital Payments</t>
  </si>
  <si>
    <t>Issuing</t>
  </si>
  <si>
    <t>Banking</t>
  </si>
  <si>
    <t>Products &amp; Services</t>
  </si>
  <si>
    <t>Segment</t>
  </si>
  <si>
    <t>Target Market</t>
  </si>
  <si>
    <t>Small businesses and independent software vendors</t>
  </si>
  <si>
    <t>CLOVER, POS, AND business management platform</t>
  </si>
  <si>
    <t>Large businesses</t>
  </si>
  <si>
    <t>integregrated omnichannel operating systems (OS)</t>
  </si>
  <si>
    <t>Financial Institutions, joint venture</t>
  </si>
  <si>
    <t>Partner technology tools to enable real-time access to portfolio activity and pricing management</t>
  </si>
  <si>
    <t>financial institutions, corporate, and public sector clients</t>
  </si>
  <si>
    <t>debit card processing services, debit network services, security and fraud protection products, bill payments, P2P payments, and account-to-account transfers</t>
  </si>
  <si>
    <t>credit card processing services, prepaid card processing services, card production services, print services, government payment processing, and student loan processing</t>
  </si>
  <si>
    <t>customer loans, and deposit account processing, digital banking , financial and risk management, professional services and consulting, and check processing</t>
  </si>
  <si>
    <t>Outstanding Shares</t>
  </si>
  <si>
    <t>Market CAP</t>
  </si>
  <si>
    <t>ADJ' EBITDA</t>
  </si>
  <si>
    <t>Sensitivity Analysis</t>
  </si>
  <si>
    <t>Revenue</t>
  </si>
  <si>
    <t>Exit Multiple</t>
  </si>
  <si>
    <t>Share Price Sensitivity</t>
  </si>
  <si>
    <t>Discount Rate</t>
  </si>
  <si>
    <t>PV of FCF</t>
  </si>
  <si>
    <t>PV of Terminal Value</t>
  </si>
  <si>
    <t>Target Price Upside</t>
  </si>
  <si>
    <t xml:space="preserve">   </t>
  </si>
  <si>
    <t>ROIC</t>
  </si>
  <si>
    <t>Invested Capital</t>
  </si>
  <si>
    <t>Net working capital</t>
  </si>
  <si>
    <t>Acquired intangibles</t>
  </si>
  <si>
    <t>Operating Current Assets</t>
  </si>
  <si>
    <t>x</t>
  </si>
  <si>
    <t>Gross profit margin (% of Revenue)</t>
  </si>
  <si>
    <t>Operating Margin (% of Revenue)</t>
  </si>
  <si>
    <t>Profit margin (% of Revenue)</t>
  </si>
  <si>
    <t>Average Cost of Debt</t>
  </si>
  <si>
    <t>Long Term Debt (Rates of Senior Notes)</t>
  </si>
  <si>
    <t>Fiserv Inc. Net profits</t>
  </si>
  <si>
    <t>S&amp;P 500</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</si>
  <si>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</si>
  <si>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</si>
  <si>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</si>
  <si>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</si>
  <si>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</si>
  <si>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</si>
  <si>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</si>
  <si>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</si>
  <si>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</si>
  <si>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</si>
  <si>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</si>
  <si>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</si>
  <si>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</si>
  <si>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</si>
  <si>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</si>
  <si>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</si>
  <si>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</si>
  <si>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</si>
  <si>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</si>
  <si>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</si>
  <si>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</si>
  <si>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</si>
  <si>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</si>
  <si>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</si>
  <si>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</si>
  <si>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</si>
  <si>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Fiserv Inc. Net profits</t>
  </si>
  <si>
    <t>Residuals</t>
  </si>
  <si>
    <t>Average interest rate for 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</si>
</sst>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F&quot;Y&quot;yy"/>
    <numFmt numFmtId="165" formatCode="0.0%"/>
    <numFmt numFmtId="166" formatCode="#.0\x"/>
  </numFmts>
  <fonts count="27">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theme="3" tint="0.249977111117893"/>
      <name val="Aptos Narrow"/>
      <family val="2"/>
      <scheme val="minor"/>
    </font>
    <font>
      <b/>
      <sz val="11"/>
      <color theme="3" tint="0.249977111117893"/>
      <name val="Aptos Narrow"/>
      <family val="2"/>
      <scheme val="minor"/>
    </font>
    <font>
      <b/>
      <sz val="18"/>
      <color theme="1" tint="0.14999847407452621"/>
      <name val="Aptos Narrow"/>
      <family val="2"/>
      <scheme val="minor"/>
    </font>
    <font>
      <i/>
      <sz val="12"/>
      <color theme="1"/>
      <name val="Aptos Narrow"/>
      <family val="2"/>
      <scheme val="minor"/>
    </font>
    <font>
      <b/>
      <sz val="12"/>
      <color theme="1" tint="0.14999847407452621"/>
      <name val="Aptos Narrow"/>
      <family val="2"/>
      <scheme val="minor"/>
    </font>
    <font>
      <b/>
      <sz val="16"/>
      <color theme="1"/>
      <name val="Aptos Narrow"/>
      <family val="2"/>
      <scheme val="minor"/>
    </font>
    <font>
      <sz val="9"/>
      <color indexed="81"/>
      <name val="Tahoma"/>
      <family val="2"/>
    </font>
    <font>
      <b/>
      <sz val="9"/>
      <color indexed="81"/>
      <name val="Tahoma"/>
      <family val="2"/>
    </font>
    <font>
      <sz val="12"/>
      <color rgb="FF393939"/>
      <name val="Univers Fiserv"/>
    </font>
    <font>
      <b/>
      <sz val="12"/>
      <color theme="1"/>
      <name val="Aptos Narrow"/>
      <family val="2"/>
      <scheme val="minor"/>
    </font>
    <font>
      <b/>
      <sz val="30"/>
      <color theme="0"/>
      <name val="Aptos Narrow"/>
      <family val="2"/>
      <scheme val="minor"/>
    </font>
    <font>
      <sz val="12"/>
      <color theme="0"/>
      <name val="Aptos Narrow"/>
      <family val="2"/>
      <scheme val="minor"/>
    </font>
    <font>
      <sz val="24"/>
      <color theme="0"/>
      <name val="Aptos Narrow"/>
      <family val="2"/>
      <scheme val="minor"/>
    </font>
    <font>
      <sz val="11"/>
      <color theme="3" tint="0.499984740745262"/>
      <name val="Aptos Narrow"/>
      <family val="2"/>
      <scheme val="minor"/>
    </font>
    <font>
      <sz val="11"/>
      <name val="Aptos Narrow"/>
      <family val="2"/>
      <scheme val="minor"/>
    </font>
    <font>
      <sz val="12"/>
      <color theme="1"/>
      <name val="Aptos Narrow"/>
      <family val="2"/>
      <scheme val="minor"/>
    </font>
    <font>
      <sz val="11"/>
      <color theme="0"/>
      <name val="Aptos Narrow"/>
      <family val="2"/>
      <scheme val="minor"/>
    </font>
    <font>
      <sz val="12"/>
      <color rgb="FF393939"/>
      <name val="Aptos Narrow"/>
      <family val="2"/>
      <scheme val="minor"/>
    </font>
    <font>
      <b/>
      <sz val="12"/>
      <color rgb="FF393939"/>
      <name val="Aptos Narrow"/>
      <family val="2"/>
      <scheme val="minor"/>
    </font>
    <font>
      <b/>
      <sz val="12"/>
      <name val="Aptos Narrow"/>
      <family val="2"/>
      <scheme val="minor"/>
    </font>
    <font>
      <sz val="12"/>
      <name val="Aptos Narrow"/>
      <family val="2"/>
      <scheme val="minor"/>
    </font>
    <font>
      <i/>
      <sz val="11"/>
      <name val="Aptos Narrow"/>
      <family val="2"/>
      <scheme val="minor"/>
    </font>
    <font>
      <b/>
      <sz val="11"/>
      <name val="Aptos Narrow"/>
      <family val="2"/>
      <scheme val="minor"/>
    </font>
  </fonts>
  <fills count="11">
    <fill>
      <patternFill patternType="none"/>
    </fill>
    <fill>
      <patternFill patternType="gray125"/>
    </fill>
    <fill>
      <patternFill patternType="solid">
        <fgColor theme="3" tint="0.749992370372631"/>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2"/>
        <bgColor indexed="64"/>
      </patternFill>
    </fill>
    <fill>
      <patternFill patternType="solid">
        <fgColor theme="5" tint="0.59999389629810485"/>
        <bgColor indexed="64"/>
      </patternFill>
    </fill>
    <fill>
      <patternFill patternType="solid">
        <fgColor rgb="FFFF6600"/>
        <bgColor indexed="64"/>
      </patternFill>
    </fill>
    <fill>
      <patternFill patternType="solid">
        <fgColor theme="5" tint="0.79998168889431442"/>
        <bgColor indexed="64"/>
      </patternFill>
    </fill>
    <fill>
      <patternFill patternType="solid">
        <fgColor rgb="FF00B0F0"/>
        <bgColor indexed="64"/>
      </patternFill>
    </fill>
  </fills>
  <borders count="20">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dotted">
        <color auto="1"/>
      </left>
      <right style="dotted">
        <color auto="1"/>
      </right>
      <top style="dotted">
        <color auto="1"/>
      </top>
      <bottom style="dotted">
        <color auto="1"/>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style="thin">
        <color indexed="64"/>
      </right>
      <top/>
      <bottom style="hair">
        <color auto="1"/>
      </bottom>
      <diagonal/>
    </border>
    <border>
      <left/>
      <right/>
      <top style="hair">
        <color auto="1"/>
      </top>
      <bottom style="hair">
        <color auto="1"/>
      </bottom>
      <diagonal/>
    </border>
    <border>
      <left/>
      <right/>
      <top style="hair">
        <color auto="1"/>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163">
    <xf numFmtId="0" fontId="0" fillId="0" borderId="0" xfId="0"/>
    <xf numFmtId="0" fontId="2" fillId="0" borderId="0" xfId="0" applyFont="1"/>
    <xf numFmtId="37" fontId="0" fillId="0" borderId="0" xfId="0" applyNumberFormat="1"/>
    <xf numFmtId="0" fontId="3" fillId="0" borderId="0" xfId="0" applyFont="1"/>
    <xf numFmtId="0" fontId="2" fillId="4" borderId="1" xfId="0" applyFont="1" applyFill="1" applyBorder="1"/>
    <xf numFmtId="0" fontId="2" fillId="5" borderId="0" xfId="0" applyFont="1" applyFill="1"/>
    <xf numFmtId="0" fontId="0" fillId="5" borderId="0" xfId="0" applyFill="1"/>
    <xf numFmtId="0" fontId="0" fillId="0" borderId="0" xfId="0" applyAlignment="1">
      <alignment horizontal="center"/>
    </xf>
    <xf numFmtId="0" fontId="0" fillId="0" borderId="2" xfId="0" applyBorder="1"/>
    <xf numFmtId="164" fontId="6" fillId="6" borderId="0" xfId="0" applyNumberFormat="1" applyFont="1" applyFill="1"/>
    <xf numFmtId="0" fontId="7" fillId="0" borderId="0" xfId="0" applyFont="1" applyAlignment="1">
      <alignment horizontal="left" indent="1"/>
    </xf>
    <xf numFmtId="0" fontId="12" fillId="0" borderId="0" xfId="0" applyFont="1"/>
    <xf numFmtId="0" fontId="0" fillId="0" borderId="0" xfId="0" applyAlignment="1">
      <alignment horizontal="right"/>
    </xf>
    <xf numFmtId="165" fontId="0" fillId="0" borderId="0" xfId="1" applyNumberFormat="1" applyFont="1" applyAlignment="1">
      <alignment horizontal="right"/>
    </xf>
    <xf numFmtId="165" fontId="0" fillId="0" borderId="0" xfId="0" applyNumberFormat="1" applyAlignment="1">
      <alignment horizontal="right"/>
    </xf>
    <xf numFmtId="9" fontId="0" fillId="0" borderId="0" xfId="1" applyFont="1" applyAlignment="1">
      <alignment horizontal="right"/>
    </xf>
    <xf numFmtId="2" fontId="0" fillId="0" borderId="0" xfId="1" applyNumberFormat="1" applyFont="1" applyAlignment="1">
      <alignment horizontal="right"/>
    </xf>
    <xf numFmtId="0" fontId="0" fillId="5" borderId="0" xfId="0" applyFill="1" applyAlignment="1">
      <alignment horizontal="right"/>
    </xf>
    <xf numFmtId="164" fontId="0" fillId="3" borderId="0" xfId="0" applyNumberFormat="1" applyFill="1" applyAlignment="1">
      <alignment horizontal="right"/>
    </xf>
    <xf numFmtId="37" fontId="4" fillId="0" borderId="0" xfId="0" applyNumberFormat="1" applyFont="1" applyAlignment="1">
      <alignment horizontal="right"/>
    </xf>
    <xf numFmtId="37" fontId="0" fillId="0" borderId="0" xfId="0" applyNumberFormat="1" applyAlignment="1">
      <alignment horizontal="right"/>
    </xf>
    <xf numFmtId="0" fontId="2" fillId="0" borderId="0" xfId="0" applyFont="1" applyAlignment="1">
      <alignment horizontal="right"/>
    </xf>
    <xf numFmtId="37" fontId="2" fillId="0" borderId="0" xfId="0" applyNumberFormat="1" applyFont="1" applyAlignment="1">
      <alignment horizontal="right"/>
    </xf>
    <xf numFmtId="0" fontId="2" fillId="4" borderId="1" xfId="0" applyFont="1" applyFill="1" applyBorder="1" applyAlignment="1">
      <alignment horizontal="right"/>
    </xf>
    <xf numFmtId="37" fontId="2" fillId="4" borderId="1" xfId="0" applyNumberFormat="1" applyFont="1" applyFill="1" applyBorder="1" applyAlignment="1">
      <alignment horizontal="right"/>
    </xf>
    <xf numFmtId="39" fontId="2" fillId="0" borderId="0" xfId="0" applyNumberFormat="1" applyFont="1" applyAlignment="1">
      <alignment horizontal="right"/>
    </xf>
    <xf numFmtId="37" fontId="5" fillId="0" borderId="0" xfId="0" applyNumberFormat="1" applyFont="1" applyAlignment="1">
      <alignment horizontal="right"/>
    </xf>
    <xf numFmtId="164" fontId="0" fillId="0" borderId="0" xfId="0" applyNumberFormat="1" applyAlignment="1">
      <alignment horizontal="right"/>
    </xf>
    <xf numFmtId="164" fontId="0" fillId="3" borderId="0" xfId="0" applyNumberFormat="1" applyFill="1" applyAlignment="1">
      <alignment horizontal="center"/>
    </xf>
    <xf numFmtId="9" fontId="0" fillId="0" borderId="0" xfId="1" applyFont="1"/>
    <xf numFmtId="0" fontId="9" fillId="0" borderId="0" xfId="0" applyFont="1"/>
    <xf numFmtId="0" fontId="2" fillId="0" borderId="3" xfId="0" applyFont="1" applyBorder="1"/>
    <xf numFmtId="0" fontId="9" fillId="6" borderId="0" xfId="0" applyFont="1" applyFill="1"/>
    <xf numFmtId="0" fontId="0" fillId="6" borderId="0" xfId="0" applyFill="1"/>
    <xf numFmtId="0" fontId="0" fillId="6" borderId="0" xfId="0" applyFill="1" applyAlignment="1">
      <alignment horizontal="right"/>
    </xf>
    <xf numFmtId="164" fontId="0" fillId="6" borderId="0" xfId="0" applyNumberFormat="1" applyFill="1" applyAlignment="1">
      <alignment horizontal="right"/>
    </xf>
    <xf numFmtId="37" fontId="0" fillId="0" borderId="2" xfId="0" applyNumberFormat="1" applyBorder="1"/>
    <xf numFmtId="0" fontId="2" fillId="4" borderId="2" xfId="0" applyFont="1" applyFill="1" applyBorder="1"/>
    <xf numFmtId="0" fontId="0" fillId="4" borderId="2" xfId="0" applyFill="1" applyBorder="1"/>
    <xf numFmtId="0" fontId="0" fillId="4" borderId="2" xfId="0" applyFill="1" applyBorder="1" applyAlignment="1">
      <alignment horizontal="right"/>
    </xf>
    <xf numFmtId="37" fontId="2" fillId="4" borderId="2" xfId="0" applyNumberFormat="1" applyFont="1" applyFill="1" applyBorder="1" applyAlignment="1">
      <alignment horizontal="right"/>
    </xf>
    <xf numFmtId="0" fontId="2" fillId="4" borderId="2" xfId="0" applyFont="1" applyFill="1" applyBorder="1" applyAlignment="1">
      <alignment horizontal="right"/>
    </xf>
    <xf numFmtId="0" fontId="2" fillId="4" borderId="0" xfId="0" applyFont="1" applyFill="1"/>
    <xf numFmtId="9" fontId="17" fillId="0" borderId="0" xfId="0" applyNumberFormat="1" applyFont="1" applyAlignment="1">
      <alignment horizontal="right"/>
    </xf>
    <xf numFmtId="165" fontId="17" fillId="0" borderId="0" xfId="1" applyNumberFormat="1" applyFont="1" applyAlignment="1">
      <alignment horizontal="right"/>
    </xf>
    <xf numFmtId="9" fontId="17" fillId="0" borderId="0" xfId="1" applyFont="1" applyAlignment="1">
      <alignment horizontal="right"/>
    </xf>
    <xf numFmtId="0" fontId="17" fillId="0" borderId="0" xfId="0" applyFont="1" applyAlignment="1">
      <alignment horizontal="right"/>
    </xf>
    <xf numFmtId="1" fontId="18" fillId="0" borderId="0" xfId="0" applyNumberFormat="1" applyFont="1" applyAlignment="1">
      <alignment horizontal="right"/>
    </xf>
    <xf numFmtId="37" fontId="18" fillId="0" borderId="0" xfId="0" applyNumberFormat="1" applyFont="1" applyAlignment="1">
      <alignment horizontal="right"/>
    </xf>
    <xf numFmtId="0" fontId="0" fillId="3" borderId="4" xfId="0" applyFill="1" applyBorder="1"/>
    <xf numFmtId="9" fontId="18" fillId="0" borderId="0" xfId="0" applyNumberFormat="1" applyFont="1" applyAlignment="1">
      <alignment horizontal="right"/>
    </xf>
    <xf numFmtId="165" fontId="18" fillId="0" borderId="0" xfId="1" applyNumberFormat="1" applyFont="1" applyAlignment="1">
      <alignment horizontal="right"/>
    </xf>
    <xf numFmtId="9" fontId="18" fillId="0" borderId="0" xfId="1" applyFont="1" applyAlignment="1">
      <alignment horizontal="right"/>
    </xf>
    <xf numFmtId="0" fontId="19" fillId="7" borderId="0" xfId="0" applyFont="1" applyFill="1"/>
    <xf numFmtId="0" fontId="9" fillId="7" borderId="0" xfId="0" applyFont="1" applyFill="1"/>
    <xf numFmtId="0" fontId="19" fillId="7" borderId="0" xfId="0" applyFont="1" applyFill="1" applyAlignment="1">
      <alignment vertical="center"/>
    </xf>
    <xf numFmtId="0" fontId="16" fillId="0" borderId="0" xfId="0" applyFont="1" applyAlignment="1">
      <alignment vertical="center"/>
    </xf>
    <xf numFmtId="0" fontId="14" fillId="0" borderId="0" xfId="0" applyFont="1" applyAlignment="1">
      <alignment vertical="center"/>
    </xf>
    <xf numFmtId="0" fontId="15" fillId="0" borderId="0" xfId="0" applyFont="1"/>
    <xf numFmtId="0" fontId="16" fillId="0" borderId="0" xfId="0" applyFont="1" applyAlignment="1">
      <alignment horizontal="center" vertical="center"/>
    </xf>
    <xf numFmtId="2" fontId="0" fillId="0" borderId="0" xfId="0" applyNumberFormat="1" applyAlignment="1">
      <alignment horizontal="center"/>
    </xf>
    <xf numFmtId="0" fontId="12" fillId="0" borderId="0" xfId="0" applyFont="1" applyAlignment="1">
      <alignment horizontal="center" wrapText="1"/>
    </xf>
    <xf numFmtId="0" fontId="12" fillId="0" borderId="0" xfId="0" applyFont="1" applyAlignment="1">
      <alignment horizontal="center" vertical="center" wrapText="1"/>
    </xf>
    <xf numFmtId="0" fontId="0" fillId="0" borderId="0" xfId="0" applyAlignment="1">
      <alignment horizontal="center" vertical="center" wrapText="1"/>
    </xf>
    <xf numFmtId="0" fontId="14" fillId="8" borderId="0" xfId="0" applyFont="1" applyFill="1" applyAlignment="1">
      <alignment vertical="center"/>
    </xf>
    <xf numFmtId="0" fontId="15" fillId="8" borderId="0" xfId="0" applyFont="1" applyFill="1"/>
    <xf numFmtId="164" fontId="18" fillId="10" borderId="0" xfId="0" applyNumberFormat="1" applyFont="1" applyFill="1" applyAlignment="1">
      <alignment horizontal="center"/>
    </xf>
    <xf numFmtId="0" fontId="2" fillId="0" borderId="0" xfId="0" applyFont="1" applyAlignment="1">
      <alignment horizontal="center"/>
    </xf>
    <xf numFmtId="2" fontId="2" fillId="3" borderId="0" xfId="0" applyNumberFormat="1" applyFont="1" applyFill="1" applyAlignment="1">
      <alignment horizontal="center"/>
    </xf>
    <xf numFmtId="37" fontId="2" fillId="0" borderId="0" xfId="0" applyNumberFormat="1" applyFont="1"/>
    <xf numFmtId="0" fontId="0" fillId="4" borderId="0" xfId="0" applyFill="1"/>
    <xf numFmtId="0" fontId="0" fillId="0" borderId="0" xfId="0" applyAlignment="1">
      <alignment vertical="center" wrapText="1"/>
    </xf>
    <xf numFmtId="1" fontId="0" fillId="4" borderId="0" xfId="0" applyNumberFormat="1" applyFill="1"/>
    <xf numFmtId="1" fontId="0" fillId="2" borderId="0" xfId="0" applyNumberFormat="1" applyFill="1"/>
    <xf numFmtId="1" fontId="0" fillId="0" borderId="0" xfId="0" applyNumberFormat="1"/>
    <xf numFmtId="37" fontId="2" fillId="0" borderId="2" xfId="0" applyNumberFormat="1" applyFont="1" applyBorder="1"/>
    <xf numFmtId="0" fontId="0" fillId="0" borderId="3" xfId="0" applyBorder="1"/>
    <xf numFmtId="9" fontId="0" fillId="0" borderId="0" xfId="0" applyNumberFormat="1"/>
    <xf numFmtId="165" fontId="0" fillId="0" borderId="0" xfId="0" applyNumberFormat="1"/>
    <xf numFmtId="2" fontId="0" fillId="0" borderId="0" xfId="0" applyNumberFormat="1"/>
    <xf numFmtId="0" fontId="21" fillId="0" borderId="0" xfId="0" applyFont="1"/>
    <xf numFmtId="0" fontId="13" fillId="0" borderId="3" xfId="0" applyFont="1" applyBorder="1"/>
    <xf numFmtId="0" fontId="22" fillId="0" borderId="0" xfId="0" applyFont="1"/>
    <xf numFmtId="164" fontId="0" fillId="9" borderId="0" xfId="0" applyNumberFormat="1" applyFill="1" applyAlignment="1">
      <alignment horizontal="center"/>
    </xf>
    <xf numFmtId="14" fontId="0" fillId="0" borderId="0" xfId="0" applyNumberFormat="1"/>
    <xf numFmtId="0" fontId="21" fillId="0" borderId="7" xfId="0" applyFont="1" applyBorder="1"/>
    <xf numFmtId="0" fontId="21" fillId="0" borderId="1" xfId="0" applyFont="1" applyBorder="1"/>
    <xf numFmtId="37" fontId="0" fillId="0" borderId="1" xfId="0" applyNumberFormat="1" applyBorder="1"/>
    <xf numFmtId="37" fontId="0" fillId="0" borderId="8" xfId="0" applyNumberFormat="1" applyBorder="1"/>
    <xf numFmtId="9" fontId="0" fillId="0" borderId="0" xfId="1" applyFont="1" applyBorder="1"/>
    <xf numFmtId="164" fontId="18" fillId="0" borderId="0" xfId="0" applyNumberFormat="1" applyFont="1" applyAlignment="1">
      <alignment horizontal="center"/>
    </xf>
    <xf numFmtId="0" fontId="23" fillId="0" borderId="3" xfId="0" applyFont="1" applyBorder="1"/>
    <xf numFmtId="0" fontId="24" fillId="0" borderId="3" xfId="0" applyFont="1" applyBorder="1"/>
    <xf numFmtId="37" fontId="18" fillId="0" borderId="3" xfId="0" applyNumberFormat="1" applyFont="1" applyBorder="1"/>
    <xf numFmtId="37" fontId="18" fillId="0" borderId="0" xfId="0" applyNumberFormat="1" applyFont="1"/>
    <xf numFmtId="8" fontId="24" fillId="0" borderId="9" xfId="0" applyNumberFormat="1" applyFont="1" applyBorder="1"/>
    <xf numFmtId="37" fontId="24" fillId="0" borderId="2" xfId="0" applyNumberFormat="1" applyFont="1" applyBorder="1"/>
    <xf numFmtId="9" fontId="25" fillId="0" borderId="10" xfId="1" applyFont="1" applyBorder="1"/>
    <xf numFmtId="8" fontId="24" fillId="0" borderId="13" xfId="0" applyNumberFormat="1" applyFont="1" applyBorder="1"/>
    <xf numFmtId="37" fontId="24" fillId="0" borderId="14" xfId="0" applyNumberFormat="1" applyFont="1" applyBorder="1"/>
    <xf numFmtId="9" fontId="25" fillId="0" borderId="15" xfId="1" applyFont="1" applyBorder="1"/>
    <xf numFmtId="0" fontId="18" fillId="0" borderId="0" xfId="0" applyFont="1"/>
    <xf numFmtId="8" fontId="24" fillId="0" borderId="11" xfId="0" applyNumberFormat="1" applyFont="1" applyBorder="1"/>
    <xf numFmtId="37" fontId="24" fillId="0" borderId="3" xfId="0" applyNumberFormat="1" applyFont="1" applyBorder="1"/>
    <xf numFmtId="9" fontId="25" fillId="0" borderId="12" xfId="1" applyFont="1" applyBorder="1"/>
    <xf numFmtId="8" fontId="24" fillId="0" borderId="0" xfId="0" applyNumberFormat="1" applyFont="1"/>
    <xf numFmtId="37" fontId="24" fillId="0" borderId="0" xfId="0" applyNumberFormat="1" applyFont="1"/>
    <xf numFmtId="9" fontId="25" fillId="0" borderId="0" xfId="1" applyFont="1" applyBorder="1"/>
    <xf numFmtId="0" fontId="18" fillId="0" borderId="9" xfId="0" applyFont="1" applyBorder="1"/>
    <xf numFmtId="37" fontId="18" fillId="0" borderId="10" xfId="0" applyNumberFormat="1" applyFont="1" applyBorder="1"/>
    <xf numFmtId="0" fontId="18" fillId="0" borderId="10" xfId="0" applyFont="1" applyBorder="1"/>
    <xf numFmtId="0" fontId="18" fillId="0" borderId="13" xfId="0" applyFont="1" applyBorder="1"/>
    <xf numFmtId="37" fontId="18" fillId="0" borderId="5" xfId="0" applyNumberFormat="1" applyFont="1" applyBorder="1"/>
    <xf numFmtId="2" fontId="18" fillId="0" borderId="5" xfId="0" applyNumberFormat="1" applyFont="1" applyBorder="1"/>
    <xf numFmtId="9" fontId="18" fillId="0" borderId="5" xfId="1" applyFont="1" applyBorder="1"/>
    <xf numFmtId="0" fontId="18" fillId="0" borderId="11" xfId="0" applyFont="1" applyBorder="1"/>
    <xf numFmtId="9" fontId="0" fillId="0" borderId="3" xfId="1" applyFont="1" applyBorder="1"/>
    <xf numFmtId="166" fontId="0" fillId="0" borderId="6" xfId="0" applyNumberFormat="1" applyBorder="1"/>
    <xf numFmtId="2" fontId="20" fillId="0" borderId="0" xfId="0" applyNumberFormat="1" applyFont="1"/>
    <xf numFmtId="0" fontId="0" fillId="0" borderId="0" xfId="0" applyAlignment="1">
      <alignment horizontal="left"/>
    </xf>
    <xf numFmtId="0" fontId="0" fillId="0" borderId="2" xfId="0" applyBorder="1" applyAlignment="1">
      <alignment horizontal="left"/>
    </xf>
    <xf numFmtId="0" fontId="2" fillId="0" borderId="3" xfId="0" applyFont="1" applyBorder="1" applyAlignment="1">
      <alignment horizontal="center"/>
    </xf>
    <xf numFmtId="0" fontId="2" fillId="0" borderId="5" xfId="0" applyFont="1" applyBorder="1" applyAlignment="1">
      <alignment horizontal="center" vertical="center" wrapText="1"/>
    </xf>
    <xf numFmtId="0" fontId="23" fillId="0" borderId="0" xfId="0" applyFont="1" applyAlignment="1">
      <alignment horizontal="left"/>
    </xf>
    <xf numFmtId="0" fontId="16" fillId="8" borderId="0" xfId="0" applyFont="1" applyFill="1" applyAlignment="1">
      <alignment horizontal="center" vertical="center"/>
    </xf>
    <xf numFmtId="164" fontId="8" fillId="10" borderId="0" xfId="0" applyNumberFormat="1" applyFont="1" applyFill="1" applyAlignment="1">
      <alignment horizontal="center" vertical="center"/>
    </xf>
    <xf numFmtId="164" fontId="8" fillId="8" borderId="0" xfId="0" applyNumberFormat="1" applyFont="1" applyFill="1" applyAlignment="1">
      <alignment horizontal="center" vertical="center"/>
    </xf>
    <xf numFmtId="1" fontId="0" fillId="0" borderId="0" xfId="0" applyNumberFormat="1" applyAlignment="1">
      <alignment horizontal="right"/>
    </xf>
    <xf numFmtId="0" fontId="2" fillId="4" borderId="16" xfId="0" applyFont="1" applyFill="1" applyBorder="1"/>
    <xf numFmtId="0" fontId="2" fillId="4" borderId="16" xfId="0" applyFont="1" applyFill="1" applyBorder="1" applyAlignment="1">
      <alignment horizontal="right"/>
    </xf>
    <xf numFmtId="37" fontId="2" fillId="4" borderId="16" xfId="0" applyNumberFormat="1" applyFont="1" applyFill="1" applyBorder="1" applyAlignment="1">
      <alignment horizontal="right"/>
    </xf>
    <xf numFmtId="37" fontId="0" fillId="0" borderId="0" xfId="0" applyNumberFormat="1" applyBorder="1"/>
    <xf numFmtId="0" fontId="0" fillId="0" borderId="0" xfId="0" applyFont="1"/>
    <xf numFmtId="37" fontId="2" fillId="0" borderId="0" xfId="0" applyNumberFormat="1" applyFont="1" applyBorder="1"/>
    <xf numFmtId="0" fontId="2" fillId="0" borderId="2" xfId="0" applyFont="1" applyBorder="1"/>
    <xf numFmtId="0" fontId="2" fillId="0" borderId="17" xfId="0" applyFont="1" applyBorder="1"/>
    <xf numFmtId="37" fontId="2" fillId="0" borderId="17" xfId="0" applyNumberFormat="1" applyFont="1" applyBorder="1"/>
    <xf numFmtId="0" fontId="2" fillId="0" borderId="0" xfId="0" applyFont="1" applyBorder="1"/>
    <xf numFmtId="0" fontId="0" fillId="0" borderId="0" xfId="0" applyFont="1" applyAlignment="1">
      <alignment horizontal="right"/>
    </xf>
    <xf numFmtId="37" fontId="0" fillId="0" borderId="0" xfId="0" applyNumberFormat="1" applyFont="1" applyAlignment="1">
      <alignment horizontal="right"/>
    </xf>
    <xf numFmtId="0" fontId="0" fillId="4" borderId="2" xfId="0" applyFont="1" applyFill="1" applyBorder="1"/>
    <xf numFmtId="0" fontId="0" fillId="4" borderId="2" xfId="0" applyFont="1" applyFill="1" applyBorder="1" applyAlignment="1">
      <alignment horizontal="right"/>
    </xf>
    <xf numFmtId="37" fontId="0" fillId="4" borderId="2" xfId="0" applyNumberFormat="1" applyFont="1" applyFill="1" applyBorder="1" applyAlignment="1">
      <alignment horizontal="right"/>
    </xf>
    <xf numFmtId="10" fontId="0" fillId="0" borderId="0" xfId="1" applyNumberFormat="1" applyFont="1"/>
    <xf numFmtId="10" fontId="0" fillId="0" borderId="0" xfId="0" applyNumberFormat="1"/>
    <xf numFmtId="0" fontId="0" fillId="0" borderId="0" xfId="0" applyFill="1" applyBorder="1" applyAlignment="1"/>
    <xf numFmtId="0" fontId="0" fillId="0" borderId="18" xfId="0" applyFill="1" applyBorder="1" applyAlignment="1"/>
    <xf numFmtId="0" fontId="3" fillId="0" borderId="19" xfId="0" applyFont="1" applyFill="1" applyBorder="1" applyAlignment="1">
      <alignment horizontal="center"/>
    </xf>
    <xf numFmtId="0" fontId="3" fillId="0" borderId="19" xfId="0" applyFont="1" applyFill="1" applyBorder="1" applyAlignment="1">
      <alignment horizontal="centerContinuous"/>
    </xf>
    <xf numFmtId="0" fontId="2" fillId="0" borderId="16" xfId="0" applyFont="1" applyBorder="1"/>
    <xf numFmtId="0" fontId="0" fillId="0" borderId="16" xfId="0" applyBorder="1"/>
    <xf numFmtId="0" fontId="0" fillId="0" borderId="16" xfId="0" applyBorder="1" applyAlignment="1">
      <alignment horizontal="right"/>
    </xf>
    <xf numFmtId="37" fontId="2" fillId="0" borderId="16" xfId="0" applyNumberFormat="1" applyFont="1" applyBorder="1" applyAlignment="1">
      <alignment horizontal="right"/>
    </xf>
    <xf numFmtId="8" fontId="18" fillId="0" borderId="12" xfId="0" applyNumberFormat="1" applyFont="1" applyBorder="1"/>
    <xf numFmtId="0" fontId="23" fillId="0" borderId="0" xfId="0" applyFont="1" applyBorder="1"/>
    <xf numFmtId="0" fontId="18" fillId="0" borderId="0" xfId="0" applyFont="1" applyBorder="1"/>
    <xf numFmtId="0" fontId="26" fillId="0" borderId="13" xfId="0" applyFont="1" applyBorder="1"/>
    <xf numFmtId="37" fontId="26" fillId="0" borderId="5" xfId="0" applyNumberFormat="1" applyFont="1" applyBorder="1"/>
    <xf numFmtId="0" fontId="26" fillId="0" borderId="11" xfId="0" applyFont="1" applyBorder="1" applyAlignment="1">
      <alignment horizontal="center" vertical="center" wrapText="1"/>
    </xf>
    <xf numFmtId="2" fontId="26" fillId="4" borderId="12" xfId="0" applyNumberFormat="1" applyFont="1" applyFill="1" applyBorder="1" applyAlignment="1">
      <alignment horizontal="center" vertical="center"/>
    </xf>
    <xf numFmtId="0" fontId="23" fillId="0" borderId="0" xfId="0" applyFont="1" applyBorder="1" applyAlignment="1">
      <alignment horizontal="left"/>
    </xf>
    <xf numFmtId="0" fontId="18" fillId="0" borderId="5" xfId="0" applyFont="1" applyBorder="1"/>
    <xf numFmtId="0" fontId="26" fillId="0" borderId="11" xfId="0" applyFont="1"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S&amp;P 500 Line Fit  Plot</a:t>
            </a:r>
          </a:p>
        </c:rich>
      </c:tx>
      <c:overlay val="0"/>
    </c:title>
    <c:autoTitleDeleted val="0"/>
    <c:plotArea>
      <c:layout/>
      <c:scatterChart>
        <c:scatterStyle val="lineMarker"/>
        <c:varyColors val="0"/>
        <c:ser>
          <c:idx val="0"/>
          <c:order val="0"/>
          <c:tx>
            <c:v>Fiserv Inc. Net profits</c:v>
          </c:tx>
          <c:spPr>
            <a:ln w="38100">
              <a:noFill/>
            </a:ln>
          </c:spPr>
          <c:xVal>
            <c:numRef>
              <c:f>Sheet2!$B$2:$B$41</c:f>
              <c:numCache>
                <c:formatCode>General</c:formatCode>
                <c:ptCount val="40"/>
                <c:pt idx="0">
                  <c:v>242.17</c:v>
                </c:pt>
                <c:pt idx="1">
                  <c:v>247.08</c:v>
                </c:pt>
                <c:pt idx="2">
                  <c:v>277.72000000000003</c:v>
                </c:pt>
                <c:pt idx="3">
                  <c:v>353.4</c:v>
                </c:pt>
                <c:pt idx="4">
                  <c:v>330.22</c:v>
                </c:pt>
                <c:pt idx="5">
                  <c:v>417.09</c:v>
                </c:pt>
                <c:pt idx="6">
                  <c:v>435.71</c:v>
                </c:pt>
                <c:pt idx="7">
                  <c:v>466.45</c:v>
                </c:pt>
                <c:pt idx="8">
                  <c:v>459.27</c:v>
                </c:pt>
                <c:pt idx="9">
                  <c:v>615.92999999999995</c:v>
                </c:pt>
                <c:pt idx="10">
                  <c:v>740.74</c:v>
                </c:pt>
                <c:pt idx="11">
                  <c:v>970.43</c:v>
                </c:pt>
                <c:pt idx="12">
                  <c:v>1229.23</c:v>
                </c:pt>
                <c:pt idx="13">
                  <c:v>1469.25</c:v>
                </c:pt>
                <c:pt idx="14">
                  <c:v>1320.28</c:v>
                </c:pt>
                <c:pt idx="15">
                  <c:v>1148.08</c:v>
                </c:pt>
                <c:pt idx="16">
                  <c:v>879.82</c:v>
                </c:pt>
                <c:pt idx="17">
                  <c:v>1111.92</c:v>
                </c:pt>
                <c:pt idx="18">
                  <c:v>1211.92</c:v>
                </c:pt>
                <c:pt idx="19">
                  <c:v>1248.29</c:v>
                </c:pt>
                <c:pt idx="20">
                  <c:v>1418.3</c:v>
                </c:pt>
                <c:pt idx="21">
                  <c:v>1468.36</c:v>
                </c:pt>
                <c:pt idx="22">
                  <c:v>903.25</c:v>
                </c:pt>
                <c:pt idx="23">
                  <c:v>1115.0999999999999</c:v>
                </c:pt>
                <c:pt idx="24">
                  <c:v>1257.6400000000001</c:v>
                </c:pt>
                <c:pt idx="25">
                  <c:v>1257.5999999999999</c:v>
                </c:pt>
                <c:pt idx="26">
                  <c:v>1426.19</c:v>
                </c:pt>
                <c:pt idx="27">
                  <c:v>1848.36</c:v>
                </c:pt>
                <c:pt idx="28">
                  <c:v>2058.9</c:v>
                </c:pt>
                <c:pt idx="29">
                  <c:v>2043.94</c:v>
                </c:pt>
                <c:pt idx="30">
                  <c:v>2238.83</c:v>
                </c:pt>
                <c:pt idx="31">
                  <c:v>2673.61</c:v>
                </c:pt>
                <c:pt idx="32">
                  <c:v>2506.85</c:v>
                </c:pt>
                <c:pt idx="33">
                  <c:v>3230.78</c:v>
                </c:pt>
                <c:pt idx="34">
                  <c:v>3756.07</c:v>
                </c:pt>
                <c:pt idx="35">
                  <c:v>4766.18</c:v>
                </c:pt>
                <c:pt idx="36">
                  <c:v>3839.5</c:v>
                </c:pt>
                <c:pt idx="37">
                  <c:v>4769.83</c:v>
                </c:pt>
                <c:pt idx="38">
                  <c:v>5881.63</c:v>
                </c:pt>
                <c:pt idx="39">
                  <c:v>6845.5</c:v>
                </c:pt>
              </c:numCache>
            </c:numRef>
          </c:xVal>
          <c:yVal>
            <c:numRef>
              <c:f>Sheet2!$A$2:$A$41</c:f>
              <c:numCache>
                <c:formatCode>General</c:formatCode>
                <c:ptCount val="40"/>
                <c:pt idx="0">
                  <c:v>0.29149999999999998</c:v>
                </c:pt>
                <c:pt idx="1">
                  <c:v>0.34670000000000001</c:v>
                </c:pt>
                <c:pt idx="2">
                  <c:v>0.3967</c:v>
                </c:pt>
                <c:pt idx="3">
                  <c:v>0.45710000000000001</c:v>
                </c:pt>
                <c:pt idx="4">
                  <c:v>0.65400000000000003</c:v>
                </c:pt>
                <c:pt idx="5">
                  <c:v>1.1899</c:v>
                </c:pt>
                <c:pt idx="6">
                  <c:v>1.1938</c:v>
                </c:pt>
                <c:pt idx="7">
                  <c:v>1.3652</c:v>
                </c:pt>
                <c:pt idx="8">
                  <c:v>1.5247999999999999</c:v>
                </c:pt>
                <c:pt idx="9">
                  <c:v>2.1274999999999999</c:v>
                </c:pt>
                <c:pt idx="10">
                  <c:v>2.6061999999999999</c:v>
                </c:pt>
                <c:pt idx="11">
                  <c:v>3.4839000000000002</c:v>
                </c:pt>
                <c:pt idx="12">
                  <c:v>5.4718</c:v>
                </c:pt>
                <c:pt idx="13">
                  <c:v>6.1134000000000004</c:v>
                </c:pt>
                <c:pt idx="14">
                  <c:v>7.5694999999999997</c:v>
                </c:pt>
                <c:pt idx="15">
                  <c:v>10.129300000000001</c:v>
                </c:pt>
                <c:pt idx="16">
                  <c:v>8.1258999999999997</c:v>
                </c:pt>
                <c:pt idx="17">
                  <c:v>9.4639000000000006</c:v>
                </c:pt>
                <c:pt idx="18">
                  <c:v>9.6195000000000004</c:v>
                </c:pt>
                <c:pt idx="19">
                  <c:v>10.3567</c:v>
                </c:pt>
                <c:pt idx="20">
                  <c:v>12.5467</c:v>
                </c:pt>
                <c:pt idx="21">
                  <c:v>13.281499999999999</c:v>
                </c:pt>
                <c:pt idx="22">
                  <c:v>8.7051999999999996</c:v>
                </c:pt>
                <c:pt idx="23">
                  <c:v>11.6037</c:v>
                </c:pt>
                <c:pt idx="24">
                  <c:v>14.016299999999999</c:v>
                </c:pt>
                <c:pt idx="25">
                  <c:v>14.0594</c:v>
                </c:pt>
                <c:pt idx="26">
                  <c:v>18.915800000000001</c:v>
                </c:pt>
                <c:pt idx="27">
                  <c:v>28.344899999999999</c:v>
                </c:pt>
                <c:pt idx="28">
                  <c:v>34.548000000000002</c:v>
                </c:pt>
                <c:pt idx="29">
                  <c:v>45.160800000000002</c:v>
                </c:pt>
                <c:pt idx="30">
                  <c:v>52.943300000000001</c:v>
                </c:pt>
                <c:pt idx="31">
                  <c:v>65.564999999999998</c:v>
                </c:pt>
                <c:pt idx="32">
                  <c:v>73.489999999999995</c:v>
                </c:pt>
                <c:pt idx="33">
                  <c:v>115.63</c:v>
                </c:pt>
                <c:pt idx="34">
                  <c:v>113.86</c:v>
                </c:pt>
                <c:pt idx="35">
                  <c:v>103.79</c:v>
                </c:pt>
                <c:pt idx="36">
                  <c:v>101.07</c:v>
                </c:pt>
                <c:pt idx="37">
                  <c:v>132.84</c:v>
                </c:pt>
                <c:pt idx="38">
                  <c:v>205.42</c:v>
                </c:pt>
                <c:pt idx="39">
                  <c:v>67.17</c:v>
                </c:pt>
              </c:numCache>
            </c:numRef>
          </c:yVal>
          <c:smooth val="0"/>
          <c:extLst>
            <c:ext xmlns:c16="http://schemas.microsoft.com/office/drawing/2014/chart" uri="{C3380CC4-5D6E-409C-BE32-E72D297353CC}">
              <c16:uniqueId val="{00000001-E491-4A28-8560-725C61727D8C}"/>
            </c:ext>
          </c:extLst>
        </c:ser>
        <c:ser>
          <c:idx val="1"/>
          <c:order val="1"/>
          <c:tx>
            <c:v>Predicted Fiserv Inc. Net profits</c:v>
          </c:tx>
          <c:spPr>
            <a:ln w="38100">
              <a:noFill/>
            </a:ln>
          </c:spPr>
          <c:xVal>
            <c:numRef>
              <c:f>Sheet2!$B$2:$B$41</c:f>
              <c:numCache>
                <c:formatCode>General</c:formatCode>
                <c:ptCount val="40"/>
                <c:pt idx="0">
                  <c:v>242.17</c:v>
                </c:pt>
                <c:pt idx="1">
                  <c:v>247.08</c:v>
                </c:pt>
                <c:pt idx="2">
                  <c:v>277.72000000000003</c:v>
                </c:pt>
                <c:pt idx="3">
                  <c:v>353.4</c:v>
                </c:pt>
                <c:pt idx="4">
                  <c:v>330.22</c:v>
                </c:pt>
                <c:pt idx="5">
                  <c:v>417.09</c:v>
                </c:pt>
                <c:pt idx="6">
                  <c:v>435.71</c:v>
                </c:pt>
                <c:pt idx="7">
                  <c:v>466.45</c:v>
                </c:pt>
                <c:pt idx="8">
                  <c:v>459.27</c:v>
                </c:pt>
                <c:pt idx="9">
                  <c:v>615.92999999999995</c:v>
                </c:pt>
                <c:pt idx="10">
                  <c:v>740.74</c:v>
                </c:pt>
                <c:pt idx="11">
                  <c:v>970.43</c:v>
                </c:pt>
                <c:pt idx="12">
                  <c:v>1229.23</c:v>
                </c:pt>
                <c:pt idx="13">
                  <c:v>1469.25</c:v>
                </c:pt>
                <c:pt idx="14">
                  <c:v>1320.28</c:v>
                </c:pt>
                <c:pt idx="15">
                  <c:v>1148.08</c:v>
                </c:pt>
                <c:pt idx="16">
                  <c:v>879.82</c:v>
                </c:pt>
                <c:pt idx="17">
                  <c:v>1111.92</c:v>
                </c:pt>
                <c:pt idx="18">
                  <c:v>1211.92</c:v>
                </c:pt>
                <c:pt idx="19">
                  <c:v>1248.29</c:v>
                </c:pt>
                <c:pt idx="20">
                  <c:v>1418.3</c:v>
                </c:pt>
                <c:pt idx="21">
                  <c:v>1468.36</c:v>
                </c:pt>
                <c:pt idx="22">
                  <c:v>903.25</c:v>
                </c:pt>
                <c:pt idx="23">
                  <c:v>1115.0999999999999</c:v>
                </c:pt>
                <c:pt idx="24">
                  <c:v>1257.6400000000001</c:v>
                </c:pt>
                <c:pt idx="25">
                  <c:v>1257.5999999999999</c:v>
                </c:pt>
                <c:pt idx="26">
                  <c:v>1426.19</c:v>
                </c:pt>
                <c:pt idx="27">
                  <c:v>1848.36</c:v>
                </c:pt>
                <c:pt idx="28">
                  <c:v>2058.9</c:v>
                </c:pt>
                <c:pt idx="29">
                  <c:v>2043.94</c:v>
                </c:pt>
                <c:pt idx="30">
                  <c:v>2238.83</c:v>
                </c:pt>
                <c:pt idx="31">
                  <c:v>2673.61</c:v>
                </c:pt>
                <c:pt idx="32">
                  <c:v>2506.85</c:v>
                </c:pt>
                <c:pt idx="33">
                  <c:v>3230.78</c:v>
                </c:pt>
                <c:pt idx="34">
                  <c:v>3756.07</c:v>
                </c:pt>
                <c:pt idx="35">
                  <c:v>4766.18</c:v>
                </c:pt>
                <c:pt idx="36">
                  <c:v>3839.5</c:v>
                </c:pt>
                <c:pt idx="37">
                  <c:v>4769.83</c:v>
                </c:pt>
                <c:pt idx="38">
                  <c:v>5881.63</c:v>
                </c:pt>
                <c:pt idx="39">
                  <c:v>6845.5</c:v>
                </c:pt>
              </c:numCache>
            </c:numRef>
          </c:xVal>
          <c:yVal>
            <c:numRef>
              <c:f>Sheet2!$J$29:$J$68</c:f>
              <c:numCache>
                <c:formatCode>General</c:formatCode>
                <c:ptCount val="40"/>
                <c:pt idx="0">
                  <c:v>-6.7549518826628061</c:v>
                </c:pt>
                <c:pt idx="1">
                  <c:v>-6.6268892064135754</c:v>
                </c:pt>
                <c:pt idx="2">
                  <c:v>-5.8277363754000486</c:v>
                </c:pt>
                <c:pt idx="3">
                  <c:v>-3.8538497484058052</c:v>
                </c:pt>
                <c:pt idx="4">
                  <c:v>-4.4584307739571596</c:v>
                </c:pt>
                <c:pt idx="5">
                  <c:v>-2.192686438769659</c:v>
                </c:pt>
                <c:pt idx="6">
                  <c:v>-1.7070393854579144</c:v>
                </c:pt>
                <c:pt idx="7">
                  <c:v>-0.90527835329878137</c:v>
                </c:pt>
                <c:pt idx="8">
                  <c:v>-1.0925471955532569</c:v>
                </c:pt>
                <c:pt idx="9">
                  <c:v>2.9934607191523241</c:v>
                </c:pt>
                <c:pt idx="10">
                  <c:v>6.2487565689825537</c:v>
                </c:pt>
                <c:pt idx="11">
                  <c:v>12.239533780323836</c:v>
                </c:pt>
                <c:pt idx="12">
                  <c:v>18.989558345150883</c:v>
                </c:pt>
                <c:pt idx="13">
                  <c:v>25.249762734833212</c:v>
                </c:pt>
                <c:pt idx="14">
                  <c:v>21.364325488224694</c:v>
                </c:pt>
                <c:pt idx="15">
                  <c:v>16.873003115492015</c:v>
                </c:pt>
                <c:pt idx="16">
                  <c:v>9.8762427222906908</c:v>
                </c:pt>
                <c:pt idx="17">
                  <c:v>15.929877581241065</c:v>
                </c:pt>
                <c:pt idx="18">
                  <c:v>18.538078726846571</c:v>
                </c:pt>
                <c:pt idx="19">
                  <c:v>19.48668148350329</c:v>
                </c:pt>
                <c:pt idx="20">
                  <c:v>23.920884251147207</c:v>
                </c:pt>
                <c:pt idx="21">
                  <c:v>25.226549744637317</c:v>
                </c:pt>
                <c:pt idx="22">
                  <c:v>10.487344250706059</c:v>
                </c:pt>
                <c:pt idx="23">
                  <c:v>16.012818377671316</c:v>
                </c:pt>
                <c:pt idx="24">
                  <c:v>19.730548290617406</c:v>
                </c:pt>
                <c:pt idx="25">
                  <c:v>19.729505010159158</c:v>
                </c:pt>
                <c:pt idx="26">
                  <c:v>24.126671321535483</c:v>
                </c:pt>
                <c:pt idx="27">
                  <c:v>35.137714097938236</c:v>
                </c:pt>
                <c:pt idx="28">
                  <c:v>40.629020789896067</c:v>
                </c:pt>
                <c:pt idx="29">
                  <c:v>40.238833898513484</c:v>
                </c:pt>
                <c:pt idx="30">
                  <c:v>45.321957111184048</c:v>
                </c:pt>
                <c:pt idx="31">
                  <c:v>56.661894052047664</c:v>
                </c:pt>
                <c:pt idx="32">
                  <c:v>52.312457821635924</c:v>
                </c:pt>
                <c:pt idx="33">
                  <c:v>71.194008375017859</c:v>
                </c:pt>
                <c:pt idx="34">
                  <c:v>84.894628172768989</c:v>
                </c:pt>
                <c:pt idx="35">
                  <c:v>111.24032876464477</c:v>
                </c:pt>
                <c:pt idx="36">
                  <c:v>87.070650388547676</c:v>
                </c:pt>
                <c:pt idx="37">
                  <c:v>111.33552810645935</c:v>
                </c:pt>
                <c:pt idx="38">
                  <c:v>140.33350844330135</c:v>
                </c:pt>
                <c:pt idx="39">
                  <c:v>165.47317682544912</c:v>
                </c:pt>
              </c:numCache>
            </c:numRef>
          </c:yVal>
          <c:smooth val="0"/>
          <c:extLst>
            <c:ext xmlns:c16="http://schemas.microsoft.com/office/drawing/2014/chart" uri="{C3380CC4-5D6E-409C-BE32-E72D297353CC}">
              <c16:uniqueId val="{00000002-E491-4A28-8560-725C61727D8C}"/>
            </c:ext>
          </c:extLst>
        </c:ser>
        <c:dLbls>
          <c:showLegendKey val="0"/>
          <c:showVal val="0"/>
          <c:showCatName val="0"/>
          <c:showSerName val="0"/>
          <c:showPercent val="0"/>
          <c:showBubbleSize val="0"/>
        </c:dLbls>
        <c:axId val="298099631"/>
        <c:axId val="298086671"/>
      </c:scatterChart>
      <c:valAx>
        <c:axId val="298099631"/>
        <c:scaling>
          <c:orientation val="minMax"/>
        </c:scaling>
        <c:delete val="0"/>
        <c:axPos val="b"/>
        <c:title>
          <c:tx>
            <c:rich>
              <a:bodyPr/>
              <a:lstStyle/>
              <a:p>
                <a:pPr>
                  <a:defRPr/>
                </a:pPr>
                <a:r>
                  <a:rPr lang="en-US"/>
                  <a:t>S&amp;P 500</a:t>
                </a:r>
              </a:p>
            </c:rich>
          </c:tx>
          <c:overlay val="0"/>
        </c:title>
        <c:numFmt formatCode="General" sourceLinked="1"/>
        <c:majorTickMark val="out"/>
        <c:minorTickMark val="none"/>
        <c:tickLblPos val="nextTo"/>
        <c:crossAx val="298086671"/>
        <c:crosses val="autoZero"/>
        <c:crossBetween val="midCat"/>
      </c:valAx>
      <c:valAx>
        <c:axId val="298086671"/>
        <c:scaling>
          <c:orientation val="minMax"/>
        </c:scaling>
        <c:delete val="0"/>
        <c:axPos val="l"/>
        <c:title>
          <c:tx>
            <c:rich>
              <a:bodyPr/>
              <a:lstStyle/>
              <a:p>
                <a:pPr>
                  <a:defRPr/>
                </a:pPr>
                <a:r>
                  <a:rPr lang="en-US"/>
                  <a:t>Fiserv Inc. Net profits</a:t>
                </a:r>
              </a:p>
            </c:rich>
          </c:tx>
          <c:overlay val="0"/>
        </c:title>
        <c:numFmt formatCode="General" sourceLinked="1"/>
        <c:majorTickMark val="out"/>
        <c:minorTickMark val="none"/>
        <c:tickLblPos val="nextTo"/>
        <c:crossAx val="298099631"/>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207066</xdr:colOff>
      <xdr:row>2</xdr:row>
      <xdr:rowOff>91107</xdr:rowOff>
    </xdr:from>
    <xdr:to>
      <xdr:col>32</xdr:col>
      <xdr:colOff>240196</xdr:colOff>
      <xdr:row>32</xdr:row>
      <xdr:rowOff>16564</xdr:rowOff>
    </xdr:to>
    <xdr:graphicFrame macro="">
      <xdr:nvGraphicFramePr>
        <xdr:cNvPr id="2" name="Chart 1">
          <a:extLst>
            <a:ext uri="{FF2B5EF4-FFF2-40B4-BE49-F238E27FC236}">
              <a16:creationId xmlns:a16="http://schemas.microsoft.com/office/drawing/2014/main" id="{042B485B-24A7-0D2D-E247-01A6B0FB5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3EB02-0913-4B02-8447-D0C09B7B924D}">
  <dimension ref="A2:AB302"/>
  <sheetViews>
    <sheetView showGridLines="0" tabSelected="1" topLeftCell="A117" zoomScale="85" zoomScaleNormal="85" workbookViewId="0">
      <selection activeCell="K279" sqref="K279"/>
    </sheetView>
  </sheetViews>
  <sheetFormatPr defaultRowHeight="15" outlineLevelRow="1"/>
  <cols>
    <col min="2" max="2" width="39.140625" customWidth="1"/>
    <col min="3" max="3" width="13.85546875" bestFit="1" customWidth="1"/>
    <col min="4" max="4" width="11.5703125" bestFit="1" customWidth="1"/>
    <col min="5" max="5" width="10.5703125" bestFit="1" customWidth="1"/>
    <col min="6" max="6" width="15.85546875" bestFit="1" customWidth="1"/>
    <col min="7" max="7" width="10.5703125" bestFit="1" customWidth="1"/>
    <col min="8" max="8" width="11.28515625" bestFit="1" customWidth="1"/>
    <col min="9" max="9" width="12.28515625" bestFit="1" customWidth="1"/>
    <col min="10" max="10" width="21.42578125" bestFit="1" customWidth="1"/>
    <col min="11" max="11" width="14.85546875" bestFit="1" customWidth="1"/>
    <col min="12" max="14" width="16" bestFit="1" customWidth="1"/>
    <col min="15" max="15" width="8.85546875" customWidth="1"/>
  </cols>
  <sheetData>
    <row r="2" spans="1:15" ht="39">
      <c r="B2" s="64" t="s">
        <v>175</v>
      </c>
      <c r="C2" s="64"/>
      <c r="D2" s="64"/>
      <c r="E2" s="64"/>
      <c r="F2" s="64"/>
      <c r="G2" s="64"/>
      <c r="H2" s="64"/>
      <c r="I2" s="64"/>
      <c r="J2" s="65"/>
      <c r="K2" s="65"/>
      <c r="L2" s="124" t="s">
        <v>174</v>
      </c>
      <c r="M2" s="124"/>
      <c r="N2" s="124"/>
      <c r="O2" s="56"/>
    </row>
    <row r="3" spans="1:15" ht="23.25" customHeight="1">
      <c r="B3" s="57"/>
      <c r="C3" s="57"/>
      <c r="D3" s="57"/>
      <c r="E3" s="57"/>
      <c r="F3" s="57"/>
      <c r="G3" s="57"/>
      <c r="H3" s="57"/>
      <c r="I3" s="57"/>
      <c r="J3" s="58"/>
      <c r="K3" s="58"/>
      <c r="L3" s="59"/>
      <c r="M3" s="59"/>
      <c r="N3" s="59"/>
      <c r="O3" s="56"/>
    </row>
    <row r="4" spans="1:15">
      <c r="C4" s="3" t="s">
        <v>177</v>
      </c>
      <c r="D4" s="49">
        <v>1</v>
      </c>
      <c r="F4" s="67" t="s">
        <v>176</v>
      </c>
      <c r="G4" s="68">
        <f>C278</f>
        <v>204.14107787467495</v>
      </c>
      <c r="H4" s="7"/>
      <c r="I4" s="7"/>
      <c r="J4" s="7"/>
      <c r="K4" s="7"/>
      <c r="L4" s="7"/>
      <c r="M4" s="7"/>
      <c r="N4" s="7"/>
    </row>
    <row r="5" spans="1:15">
      <c r="C5" s="3"/>
      <c r="F5" s="7"/>
      <c r="G5" s="60"/>
      <c r="H5" s="7"/>
      <c r="I5" s="7"/>
      <c r="J5" s="7"/>
      <c r="K5" s="7"/>
      <c r="L5" s="7"/>
      <c r="M5" s="7"/>
      <c r="N5" s="7"/>
    </row>
    <row r="6" spans="1:15" ht="24">
      <c r="A6" t="s">
        <v>229</v>
      </c>
      <c r="B6" s="9" t="s">
        <v>107</v>
      </c>
      <c r="C6" s="9"/>
      <c r="D6" s="9"/>
      <c r="E6" s="9"/>
      <c r="F6" s="126" t="s">
        <v>1</v>
      </c>
      <c r="G6" s="126"/>
      <c r="H6" s="126"/>
      <c r="I6" s="125" t="s">
        <v>0</v>
      </c>
      <c r="J6" s="125"/>
      <c r="K6" s="125"/>
      <c r="L6" s="125"/>
      <c r="M6" s="125"/>
      <c r="N6" s="125"/>
    </row>
    <row r="7" spans="1:15" ht="15.75" outlineLevel="1">
      <c r="B7" s="10" t="s">
        <v>108</v>
      </c>
      <c r="C7" s="10"/>
      <c r="F7" s="28">
        <v>44926</v>
      </c>
      <c r="G7" s="28">
        <f t="shared" ref="G7:N7" si="0">EOMONTH(F7,12)</f>
        <v>45291</v>
      </c>
      <c r="H7" s="28">
        <f t="shared" si="0"/>
        <v>45657</v>
      </c>
      <c r="I7" s="28">
        <f t="shared" si="0"/>
        <v>46022</v>
      </c>
      <c r="J7" s="28">
        <f t="shared" si="0"/>
        <v>46387</v>
      </c>
      <c r="K7" s="28">
        <f t="shared" si="0"/>
        <v>46752</v>
      </c>
      <c r="L7" s="28">
        <f t="shared" si="0"/>
        <v>47118</v>
      </c>
      <c r="M7" s="28">
        <f t="shared" si="0"/>
        <v>47483</v>
      </c>
      <c r="N7" s="28">
        <f t="shared" si="0"/>
        <v>47848</v>
      </c>
    </row>
    <row r="8" spans="1:15" outlineLevel="1">
      <c r="F8" s="7"/>
      <c r="G8" s="7"/>
      <c r="H8" s="7"/>
      <c r="I8" s="7"/>
      <c r="J8" s="7"/>
      <c r="K8" s="7"/>
      <c r="L8" s="7"/>
      <c r="M8" s="7"/>
      <c r="N8" s="7"/>
    </row>
    <row r="9" spans="1:15" ht="17.25" customHeight="1" outlineLevel="1">
      <c r="E9" s="12"/>
      <c r="F9" s="12"/>
      <c r="G9" s="12"/>
      <c r="H9" s="12"/>
      <c r="I9" s="12"/>
      <c r="J9" s="12"/>
      <c r="K9" s="12"/>
      <c r="L9" s="12"/>
      <c r="M9" s="12"/>
      <c r="N9" s="12"/>
    </row>
    <row r="10" spans="1:15" ht="21" outlineLevel="1">
      <c r="B10" s="54" t="s">
        <v>177</v>
      </c>
      <c r="F10" s="7"/>
      <c r="G10" s="7"/>
      <c r="H10" s="7"/>
      <c r="I10" s="7"/>
      <c r="J10" s="7"/>
      <c r="K10" s="7"/>
      <c r="L10" s="7"/>
      <c r="M10" s="7"/>
      <c r="N10" s="7"/>
    </row>
    <row r="11" spans="1:15" ht="17.25" customHeight="1" outlineLevel="1">
      <c r="B11" t="s">
        <v>115</v>
      </c>
      <c r="E11" s="12"/>
      <c r="F11" s="12"/>
      <c r="G11" s="13">
        <f>(G59-F59)/F59</f>
        <v>7.6450358008682412E-2</v>
      </c>
      <c r="H11" s="13">
        <f>(H59-G59)/G59</f>
        <v>7.1387419473105326E-2</v>
      </c>
      <c r="I11" s="50">
        <f t="shared" ref="I11:N19" si="1">CHOOSE($D$4,I22,I33,I45)</f>
        <v>0.04</v>
      </c>
      <c r="J11" s="50">
        <f t="shared" si="1"/>
        <v>0.05</v>
      </c>
      <c r="K11" s="50">
        <f t="shared" si="1"/>
        <v>0.05</v>
      </c>
      <c r="L11" s="50">
        <f t="shared" si="1"/>
        <v>0.06</v>
      </c>
      <c r="M11" s="50">
        <f t="shared" si="1"/>
        <v>0.08</v>
      </c>
      <c r="N11" s="50">
        <f t="shared" si="1"/>
        <v>0.08</v>
      </c>
    </row>
    <row r="12" spans="1:15" ht="17.25" customHeight="1" outlineLevel="1">
      <c r="B12" t="s">
        <v>112</v>
      </c>
      <c r="E12" s="12"/>
      <c r="F12" s="12"/>
      <c r="G12" s="13">
        <f>(G62-F62)/F62</f>
        <v>3.8470398525685325E-2</v>
      </c>
      <c r="H12" s="13">
        <f>(H62-G62)/G62</f>
        <v>7.4534161490683232E-2</v>
      </c>
      <c r="I12" s="51">
        <f t="shared" si="1"/>
        <v>0.04</v>
      </c>
      <c r="J12" s="51">
        <f t="shared" si="1"/>
        <v>0.04</v>
      </c>
      <c r="K12" s="51">
        <f t="shared" si="1"/>
        <v>0.04</v>
      </c>
      <c r="L12" s="51">
        <f t="shared" si="1"/>
        <v>0.04</v>
      </c>
      <c r="M12" s="51">
        <f t="shared" si="1"/>
        <v>0.04</v>
      </c>
      <c r="N12" s="51">
        <f t="shared" si="1"/>
        <v>0.04</v>
      </c>
    </row>
    <row r="13" spans="1:15" ht="17.25" customHeight="1" outlineLevel="1">
      <c r="B13" t="s">
        <v>113</v>
      </c>
      <c r="E13" s="12"/>
      <c r="F13" s="12"/>
      <c r="G13" s="13">
        <f>(G64-F64)/F64</f>
        <v>8.5327611817131541E-2</v>
      </c>
      <c r="H13" s="13">
        <f>(H64-G64)/G64</f>
        <v>-1.8248175182481751E-3</v>
      </c>
      <c r="I13" s="51">
        <f t="shared" si="1"/>
        <v>0.02</v>
      </c>
      <c r="J13" s="51">
        <f t="shared" si="1"/>
        <v>0.02</v>
      </c>
      <c r="K13" s="51">
        <f t="shared" si="1"/>
        <v>0.02</v>
      </c>
      <c r="L13" s="51">
        <f t="shared" si="1"/>
        <v>0.02</v>
      </c>
      <c r="M13" s="51">
        <f t="shared" si="1"/>
        <v>0.02</v>
      </c>
      <c r="N13" s="51">
        <f t="shared" si="1"/>
        <v>0.02</v>
      </c>
    </row>
    <row r="14" spans="1:15" ht="17.25" customHeight="1" outlineLevel="1">
      <c r="B14" t="s">
        <v>265</v>
      </c>
      <c r="E14" s="12"/>
      <c r="F14" s="12"/>
      <c r="G14" s="14">
        <f>G70/AVERAGE(F125:G125)</f>
        <v>4.5067300810380254E-2</v>
      </c>
      <c r="H14" s="14">
        <f>(H70-G70)/G70</f>
        <v>0.22438524590163936</v>
      </c>
      <c r="I14" s="50">
        <f t="shared" si="1"/>
        <v>0.05</v>
      </c>
      <c r="J14" s="50">
        <f t="shared" si="1"/>
        <v>0.05</v>
      </c>
      <c r="K14" s="50">
        <f t="shared" si="1"/>
        <v>0.05</v>
      </c>
      <c r="L14" s="50">
        <f t="shared" si="1"/>
        <v>0.05</v>
      </c>
      <c r="M14" s="50">
        <f t="shared" si="1"/>
        <v>0.05</v>
      </c>
      <c r="N14" s="50">
        <f t="shared" si="1"/>
        <v>0.05</v>
      </c>
    </row>
    <row r="15" spans="1:15" ht="17.25" customHeight="1" outlineLevel="1">
      <c r="B15" t="s">
        <v>110</v>
      </c>
      <c r="E15" s="12"/>
      <c r="F15" s="14"/>
      <c r="G15" s="14">
        <f>G73/G74</f>
        <v>0.23982188295165394</v>
      </c>
      <c r="H15" s="14">
        <f>H73/H74</f>
        <v>0.1645277207392197</v>
      </c>
      <c r="I15" s="50">
        <f t="shared" si="1"/>
        <v>0.17</v>
      </c>
      <c r="J15" s="50">
        <f t="shared" si="1"/>
        <v>0.17</v>
      </c>
      <c r="K15" s="50">
        <f t="shared" si="1"/>
        <v>0.17</v>
      </c>
      <c r="L15" s="50">
        <f t="shared" si="1"/>
        <v>0.17</v>
      </c>
      <c r="M15" s="50">
        <f t="shared" si="1"/>
        <v>0.17</v>
      </c>
      <c r="N15" s="50">
        <f t="shared" si="1"/>
        <v>0.17</v>
      </c>
    </row>
    <row r="16" spans="1:15" ht="17.25" customHeight="1" outlineLevel="1">
      <c r="B16" t="s">
        <v>134</v>
      </c>
      <c r="E16" s="12"/>
      <c r="F16" s="20">
        <f>F68</f>
        <v>3212</v>
      </c>
      <c r="G16" s="20">
        <f>G68</f>
        <v>3162</v>
      </c>
      <c r="H16" s="20">
        <f>H68</f>
        <v>3138</v>
      </c>
      <c r="I16" s="47">
        <f t="shared" si="1"/>
        <v>3170.6666666666665</v>
      </c>
      <c r="J16" s="47">
        <f t="shared" si="1"/>
        <v>3156.8888888888887</v>
      </c>
      <c r="K16" s="47">
        <f t="shared" si="1"/>
        <v>3155.1851851851848</v>
      </c>
      <c r="L16" s="47">
        <f t="shared" si="1"/>
        <v>3160.9135802469132</v>
      </c>
      <c r="M16" s="47">
        <f t="shared" si="1"/>
        <v>3157.662551440329</v>
      </c>
      <c r="N16" s="47">
        <f t="shared" si="1"/>
        <v>3157.9204389574757</v>
      </c>
    </row>
    <row r="17" spans="2:14" ht="17.25" customHeight="1" outlineLevel="1">
      <c r="B17" t="s">
        <v>135</v>
      </c>
      <c r="E17" s="12"/>
      <c r="F17" s="12">
        <v>3315</v>
      </c>
      <c r="G17" s="12">
        <v>3015</v>
      </c>
      <c r="H17" s="12">
        <v>5396</v>
      </c>
      <c r="I17" s="47">
        <f t="shared" si="1"/>
        <v>3908.6666666666665</v>
      </c>
      <c r="J17" s="47">
        <f t="shared" si="1"/>
        <v>4106.5555555555557</v>
      </c>
      <c r="K17" s="47">
        <f t="shared" si="1"/>
        <v>4470.4074074074078</v>
      </c>
      <c r="L17" s="47">
        <f t="shared" si="1"/>
        <v>4161.8765432098771</v>
      </c>
      <c r="M17" s="47">
        <f t="shared" si="1"/>
        <v>4246.2798353909466</v>
      </c>
      <c r="N17" s="47">
        <f t="shared" si="1"/>
        <v>4292.8545953360772</v>
      </c>
    </row>
    <row r="18" spans="2:14" ht="17.25" customHeight="1" outlineLevel="1">
      <c r="B18" t="s">
        <v>136</v>
      </c>
      <c r="E18" s="12"/>
      <c r="F18" s="45">
        <v>7.0000000000000007E-2</v>
      </c>
      <c r="G18" s="45">
        <v>7.0000000000000007E-2</v>
      </c>
      <c r="H18" s="45">
        <v>7.0000000000000007E-2</v>
      </c>
      <c r="I18" s="52">
        <f t="shared" si="1"/>
        <v>7.0000000000000007E-2</v>
      </c>
      <c r="J18" s="52">
        <f t="shared" si="1"/>
        <v>7.0000000000000007E-2</v>
      </c>
      <c r="K18" s="52">
        <f t="shared" si="1"/>
        <v>7.0000000000000007E-2</v>
      </c>
      <c r="L18" s="52">
        <f t="shared" si="1"/>
        <v>7.0000000000000007E-2</v>
      </c>
      <c r="M18" s="52">
        <f t="shared" si="1"/>
        <v>7.0000000000000007E-2</v>
      </c>
      <c r="N18" s="52">
        <f t="shared" si="1"/>
        <v>7.0000000000000007E-2</v>
      </c>
    </row>
    <row r="19" spans="2:14" ht="17.25" customHeight="1" outlineLevel="1">
      <c r="B19" t="s">
        <v>158</v>
      </c>
      <c r="E19" s="12"/>
      <c r="F19" s="15">
        <f>(SUM(F168:F172)/F66)</f>
        <v>-3.9711538461538465E-2</v>
      </c>
      <c r="G19" s="15">
        <f>(SUM(G168:G172)/G66)</f>
        <v>5.0162396246842295E-2</v>
      </c>
      <c r="H19" s="15">
        <f>(SUM(H168:H172)/H66)</f>
        <v>3.0680224403927068E-2</v>
      </c>
      <c r="I19" s="52">
        <f t="shared" si="1"/>
        <v>0.03</v>
      </c>
      <c r="J19" s="52">
        <f t="shared" si="1"/>
        <v>0.03</v>
      </c>
      <c r="K19" s="52">
        <f t="shared" si="1"/>
        <v>0.03</v>
      </c>
      <c r="L19" s="52">
        <f t="shared" si="1"/>
        <v>0.03</v>
      </c>
      <c r="M19" s="52">
        <f t="shared" si="1"/>
        <v>0.03</v>
      </c>
      <c r="N19" s="52">
        <f t="shared" si="1"/>
        <v>0.03</v>
      </c>
    </row>
    <row r="20" spans="2:14" ht="17.25" customHeight="1" outlineLevel="1">
      <c r="E20" s="12"/>
      <c r="F20" s="12"/>
      <c r="G20" s="12"/>
      <c r="H20" s="12"/>
      <c r="I20" s="12"/>
      <c r="J20" s="12"/>
      <c r="K20" s="12"/>
      <c r="L20" s="12"/>
      <c r="M20" s="12"/>
      <c r="N20" s="12"/>
    </row>
    <row r="21" spans="2:14" ht="15.75" outlineLevel="1">
      <c r="B21" s="55" t="s">
        <v>181</v>
      </c>
      <c r="F21" s="7"/>
      <c r="G21" s="7"/>
      <c r="H21" s="7"/>
      <c r="I21" s="7"/>
      <c r="J21" s="7"/>
      <c r="K21" s="7"/>
      <c r="L21" s="7"/>
      <c r="M21" s="7"/>
      <c r="N21" s="7"/>
    </row>
    <row r="22" spans="2:14" ht="17.25" customHeight="1" outlineLevel="1">
      <c r="B22" t="s">
        <v>115</v>
      </c>
      <c r="E22" s="12"/>
      <c r="F22" s="12"/>
      <c r="G22" s="13">
        <f>(G59-F59)/F59</f>
        <v>7.6450358008682412E-2</v>
      </c>
      <c r="H22" s="13">
        <f>(H59-G59)/G59</f>
        <v>7.1387419473105326E-2</v>
      </c>
      <c r="I22" s="43">
        <v>0.04</v>
      </c>
      <c r="J22" s="43">
        <v>0.05</v>
      </c>
      <c r="K22" s="43">
        <v>0.05</v>
      </c>
      <c r="L22" s="43">
        <v>0.06</v>
      </c>
      <c r="M22" s="43">
        <v>0.08</v>
      </c>
      <c r="N22" s="43">
        <v>0.08</v>
      </c>
    </row>
    <row r="23" spans="2:14" ht="17.25" customHeight="1" outlineLevel="1">
      <c r="B23" t="s">
        <v>112</v>
      </c>
      <c r="E23" s="12"/>
      <c r="F23" s="12"/>
      <c r="G23" s="13">
        <f>(G62-F62)/F62</f>
        <v>3.8470398525685325E-2</v>
      </c>
      <c r="H23" s="13">
        <f>(H62-G62)/G62</f>
        <v>7.4534161490683232E-2</v>
      </c>
      <c r="I23" s="44">
        <v>0.04</v>
      </c>
      <c r="J23" s="44">
        <v>0.04</v>
      </c>
      <c r="K23" s="44">
        <v>0.04</v>
      </c>
      <c r="L23" s="44">
        <v>0.04</v>
      </c>
      <c r="M23" s="44">
        <v>0.04</v>
      </c>
      <c r="N23" s="44">
        <v>0.04</v>
      </c>
    </row>
    <row r="24" spans="2:14" ht="17.25" customHeight="1" outlineLevel="1">
      <c r="B24" t="s">
        <v>113</v>
      </c>
      <c r="E24" s="12"/>
      <c r="F24" s="12"/>
      <c r="G24" s="13">
        <f>(G64-F64)/F64</f>
        <v>8.5327611817131541E-2</v>
      </c>
      <c r="H24" s="13">
        <f>(H64-G64)/G64</f>
        <v>-1.8248175182481751E-3</v>
      </c>
      <c r="I24" s="44">
        <v>0.02</v>
      </c>
      <c r="J24" s="44">
        <v>0.02</v>
      </c>
      <c r="K24" s="44">
        <v>0.02</v>
      </c>
      <c r="L24" s="44">
        <v>0.02</v>
      </c>
      <c r="M24" s="44">
        <v>0.02</v>
      </c>
      <c r="N24" s="44">
        <v>0.02</v>
      </c>
    </row>
    <row r="25" spans="2:14" ht="17.25" customHeight="1" outlineLevel="1">
      <c r="B25" t="s">
        <v>265</v>
      </c>
      <c r="E25" s="12"/>
      <c r="F25" s="12"/>
      <c r="G25" s="14">
        <f>G70/AVERAGE(F125:G125)</f>
        <v>4.5067300810380254E-2</v>
      </c>
      <c r="H25" s="14">
        <f>H70/AVERAGE(G125:H125)</f>
        <v>5.1851691146161019E-2</v>
      </c>
      <c r="I25" s="43">
        <v>0.05</v>
      </c>
      <c r="J25" s="43">
        <v>0.05</v>
      </c>
      <c r="K25" s="43">
        <v>0.05</v>
      </c>
      <c r="L25" s="43">
        <v>0.05</v>
      </c>
      <c r="M25" s="43">
        <v>0.05</v>
      </c>
      <c r="N25" s="43">
        <v>0.05</v>
      </c>
    </row>
    <row r="26" spans="2:14" ht="17.25" customHeight="1" outlineLevel="1">
      <c r="B26" t="s">
        <v>110</v>
      </c>
      <c r="E26" s="12"/>
      <c r="F26" s="14">
        <f>F73/F72</f>
        <v>0.16437947494033414</v>
      </c>
      <c r="G26" s="14">
        <f t="shared" ref="G26:H26" si="2">G73/G72</f>
        <v>0.19343252950230888</v>
      </c>
      <c r="H26" s="14">
        <f t="shared" si="2"/>
        <v>0.1412827859819264</v>
      </c>
      <c r="I26" s="43">
        <v>0.17</v>
      </c>
      <c r="J26" s="43">
        <v>0.17</v>
      </c>
      <c r="K26" s="43">
        <v>0.17</v>
      </c>
      <c r="L26" s="43">
        <v>0.17</v>
      </c>
      <c r="M26" s="43">
        <v>0.17</v>
      </c>
      <c r="N26" s="43">
        <v>0.17</v>
      </c>
    </row>
    <row r="27" spans="2:14" ht="17.25" customHeight="1" outlineLevel="1">
      <c r="B27" t="s">
        <v>134</v>
      </c>
      <c r="E27" s="12"/>
      <c r="F27" s="20">
        <f>F68</f>
        <v>3212</v>
      </c>
      <c r="G27" s="20">
        <f>G68</f>
        <v>3162</v>
      </c>
      <c r="H27" s="20">
        <f>H68</f>
        <v>3138</v>
      </c>
      <c r="I27" s="47">
        <f>AVERAGE(F27:H27)</f>
        <v>3170.6666666666665</v>
      </c>
      <c r="J27" s="47">
        <f t="shared" ref="J27:N27" si="3">AVERAGE(G27:I27)</f>
        <v>3156.8888888888887</v>
      </c>
      <c r="K27" s="47">
        <f t="shared" si="3"/>
        <v>3155.1851851851848</v>
      </c>
      <c r="L27" s="47">
        <f t="shared" si="3"/>
        <v>3160.9135802469132</v>
      </c>
      <c r="M27" s="47">
        <f t="shared" si="3"/>
        <v>3157.662551440329</v>
      </c>
      <c r="N27" s="47">
        <f t="shared" si="3"/>
        <v>3157.9204389574757</v>
      </c>
    </row>
    <row r="28" spans="2:14" ht="17.25" customHeight="1" outlineLevel="1">
      <c r="B28" t="s">
        <v>135</v>
      </c>
      <c r="E28" s="12"/>
      <c r="F28" s="12">
        <v>3315</v>
      </c>
      <c r="G28" s="12">
        <v>3015</v>
      </c>
      <c r="H28" s="12">
        <v>5396</v>
      </c>
      <c r="I28" s="47">
        <f>AVERAGE(F17:H17)</f>
        <v>3908.6666666666665</v>
      </c>
      <c r="J28" s="47">
        <f>AVERAGE(G17:I17)</f>
        <v>4106.5555555555557</v>
      </c>
      <c r="K28" s="47">
        <f>AVERAGE(H17:J17)</f>
        <v>4470.4074074074078</v>
      </c>
      <c r="L28" s="47">
        <f>AVERAGE(I17:K17)</f>
        <v>4161.8765432098771</v>
      </c>
      <c r="M28" s="47">
        <f>AVERAGE(J17:L17)</f>
        <v>4246.2798353909466</v>
      </c>
      <c r="N28" s="47">
        <f>AVERAGE(K17:M17)</f>
        <v>4292.8545953360772</v>
      </c>
    </row>
    <row r="29" spans="2:14" ht="17.25" customHeight="1" outlineLevel="1">
      <c r="B29" t="s">
        <v>136</v>
      </c>
      <c r="E29" s="12"/>
      <c r="F29" s="45">
        <v>7.0000000000000007E-2</v>
      </c>
      <c r="G29" s="45">
        <v>7.0000000000000007E-2</v>
      </c>
      <c r="H29" s="45">
        <v>7.0000000000000007E-2</v>
      </c>
      <c r="I29" s="45">
        <v>7.0000000000000007E-2</v>
      </c>
      <c r="J29" s="45">
        <v>7.0000000000000007E-2</v>
      </c>
      <c r="K29" s="45">
        <v>7.0000000000000007E-2</v>
      </c>
      <c r="L29" s="45">
        <v>7.0000000000000007E-2</v>
      </c>
      <c r="M29" s="45">
        <v>7.0000000000000007E-2</v>
      </c>
      <c r="N29" s="45">
        <v>7.0000000000000007E-2</v>
      </c>
    </row>
    <row r="30" spans="2:14" ht="17.25" customHeight="1" outlineLevel="1">
      <c r="B30" t="s">
        <v>158</v>
      </c>
      <c r="E30" s="12"/>
      <c r="F30" s="15">
        <f>(SUM(F168:F172)/F66)</f>
        <v>-3.9711538461538465E-2</v>
      </c>
      <c r="G30" s="15">
        <f>(SUM(G168:G172)/G66)</f>
        <v>5.0162396246842295E-2</v>
      </c>
      <c r="H30" s="15">
        <f>(SUM(H168:H172)/H66)</f>
        <v>3.0680224403927068E-2</v>
      </c>
      <c r="I30" s="45">
        <v>0.03</v>
      </c>
      <c r="J30" s="45">
        <v>0.03</v>
      </c>
      <c r="K30" s="45">
        <v>0.03</v>
      </c>
      <c r="L30" s="45">
        <v>0.03</v>
      </c>
      <c r="M30" s="45">
        <v>0.03</v>
      </c>
      <c r="N30" s="45">
        <v>0.03</v>
      </c>
    </row>
    <row r="31" spans="2:14" ht="17.25" customHeight="1" outlineLevel="1">
      <c r="E31" s="12"/>
      <c r="F31" s="15"/>
      <c r="G31" s="16"/>
      <c r="H31" s="16"/>
      <c r="I31" s="12"/>
      <c r="J31" s="12"/>
      <c r="K31" s="12"/>
      <c r="L31" s="12"/>
      <c r="M31" s="12"/>
      <c r="N31" s="12"/>
    </row>
    <row r="32" spans="2:14" ht="17.25" customHeight="1" outlineLevel="1">
      <c r="B32" s="53" t="s">
        <v>178</v>
      </c>
      <c r="E32" s="12"/>
      <c r="F32" s="15"/>
      <c r="G32" s="16"/>
      <c r="H32" s="16"/>
      <c r="I32" s="12"/>
      <c r="J32" s="12"/>
      <c r="K32" s="12"/>
      <c r="L32" s="12"/>
      <c r="M32" s="12"/>
      <c r="N32" s="12"/>
    </row>
    <row r="33" spans="2:14" ht="17.25" customHeight="1" outlineLevel="1">
      <c r="B33" t="s">
        <v>115</v>
      </c>
      <c r="E33" s="12"/>
      <c r="F33" s="12"/>
      <c r="G33" s="13">
        <f>(G59-F59)/F59</f>
        <v>7.6450358008682412E-2</v>
      </c>
      <c r="H33" s="13">
        <f>(H59-G59)/G59</f>
        <v>7.1387419473105326E-2</v>
      </c>
      <c r="I33" s="43">
        <v>0</v>
      </c>
      <c r="J33" s="43">
        <v>0</v>
      </c>
      <c r="K33" s="43">
        <v>0.01</v>
      </c>
      <c r="L33" s="43">
        <v>0.01</v>
      </c>
      <c r="M33" s="43">
        <v>0.01</v>
      </c>
      <c r="N33" s="43">
        <v>0.01</v>
      </c>
    </row>
    <row r="34" spans="2:14" ht="17.25" customHeight="1" outlineLevel="1">
      <c r="B34" t="s">
        <v>112</v>
      </c>
      <c r="E34" s="12"/>
      <c r="F34" s="12"/>
      <c r="G34" s="13">
        <f>(G62-F62)/F62</f>
        <v>3.8470398525685325E-2</v>
      </c>
      <c r="H34" s="13">
        <f>(H62-G62)/G62</f>
        <v>7.4534161490683232E-2</v>
      </c>
      <c r="I34" s="44">
        <v>0.04</v>
      </c>
      <c r="J34" s="44">
        <v>0.04</v>
      </c>
      <c r="K34" s="44">
        <v>0.04</v>
      </c>
      <c r="L34" s="44">
        <v>0.04</v>
      </c>
      <c r="M34" s="44">
        <v>0.04</v>
      </c>
      <c r="N34" s="44">
        <v>0.04</v>
      </c>
    </row>
    <row r="35" spans="2:14" ht="17.25" customHeight="1" outlineLevel="1">
      <c r="B35" t="s">
        <v>113</v>
      </c>
      <c r="E35" s="12"/>
      <c r="F35" s="12"/>
      <c r="G35" s="13">
        <f>(G64-F64)/F64</f>
        <v>8.5327611817131541E-2</v>
      </c>
      <c r="H35" s="13">
        <f>(H64-G64)/G64</f>
        <v>-1.8248175182481751E-3</v>
      </c>
      <c r="I35" s="44">
        <v>-0.01</v>
      </c>
      <c r="J35" s="44">
        <v>-0.01</v>
      </c>
      <c r="K35" s="44">
        <v>-0.01</v>
      </c>
      <c r="L35" s="44">
        <v>-0.01</v>
      </c>
      <c r="M35" s="44">
        <v>-0.01</v>
      </c>
      <c r="N35" s="44">
        <v>-0.01</v>
      </c>
    </row>
    <row r="36" spans="2:14" ht="17.25" customHeight="1" outlineLevel="1">
      <c r="B36" t="s">
        <v>265</v>
      </c>
      <c r="E36" s="12"/>
      <c r="F36" s="12"/>
      <c r="G36" s="14">
        <f>G70/AVERAGE(F125:G125)</f>
        <v>4.5067300810380254E-2</v>
      </c>
      <c r="H36" s="14">
        <f>H70/AVERAGE(G125:H125)</f>
        <v>5.1851691146161019E-2</v>
      </c>
      <c r="I36" s="43">
        <v>0.05</v>
      </c>
      <c r="J36" s="43">
        <v>0.05</v>
      </c>
      <c r="K36" s="43">
        <v>0.05</v>
      </c>
      <c r="L36" s="43">
        <v>0.05</v>
      </c>
      <c r="M36" s="43">
        <v>0.05</v>
      </c>
      <c r="N36" s="43">
        <v>0.05</v>
      </c>
    </row>
    <row r="37" spans="2:14" ht="17.25" customHeight="1" outlineLevel="1">
      <c r="B37" t="s">
        <v>110</v>
      </c>
      <c r="E37" s="12"/>
      <c r="F37" s="14">
        <f>F73/F72</f>
        <v>0.16437947494033414</v>
      </c>
      <c r="G37" s="14">
        <f t="shared" ref="G37:H37" si="4">G73/G72</f>
        <v>0.19343252950230888</v>
      </c>
      <c r="H37" s="14">
        <f t="shared" si="4"/>
        <v>0.1412827859819264</v>
      </c>
      <c r="I37" s="43">
        <v>0.17</v>
      </c>
      <c r="J37" s="43">
        <v>0.18</v>
      </c>
      <c r="K37" s="43">
        <v>0.2</v>
      </c>
      <c r="L37" s="43">
        <v>0.2</v>
      </c>
      <c r="M37" s="43">
        <v>0.2</v>
      </c>
      <c r="N37" s="43">
        <v>0.2</v>
      </c>
    </row>
    <row r="38" spans="2:14" ht="17.25" customHeight="1" outlineLevel="1">
      <c r="B38" t="s">
        <v>134</v>
      </c>
      <c r="E38" s="12"/>
      <c r="F38" s="48">
        <f>F68</f>
        <v>3212</v>
      </c>
      <c r="G38" s="48">
        <f>G68</f>
        <v>3162</v>
      </c>
      <c r="H38" s="48">
        <f>H68</f>
        <v>3138</v>
      </c>
      <c r="I38" s="47">
        <f>AVERAGE(F16:H16)</f>
        <v>3170.6666666666665</v>
      </c>
      <c r="J38" s="47">
        <f>AVERAGE(F38:I38)</f>
        <v>3170.6666666666665</v>
      </c>
      <c r="K38" s="47">
        <f t="shared" ref="K38:N38" si="5">AVERAGE(G38:J38)</f>
        <v>3160.333333333333</v>
      </c>
      <c r="L38" s="47">
        <f t="shared" si="5"/>
        <v>3159.9166666666661</v>
      </c>
      <c r="M38" s="47">
        <f t="shared" si="5"/>
        <v>3165.395833333333</v>
      </c>
      <c r="N38" s="47">
        <f t="shared" si="5"/>
        <v>3164.078125</v>
      </c>
    </row>
    <row r="39" spans="2:14" ht="17.25" customHeight="1" outlineLevel="1">
      <c r="B39" t="s">
        <v>135</v>
      </c>
      <c r="E39" s="12"/>
      <c r="F39" s="46">
        <v>3315</v>
      </c>
      <c r="G39" s="46">
        <v>3015</v>
      </c>
      <c r="H39" s="46">
        <v>5396</v>
      </c>
      <c r="I39" s="47">
        <f>AVERAGE(F39:H39)</f>
        <v>3908.6666666666665</v>
      </c>
      <c r="J39" s="47">
        <f t="shared" ref="J39:N39" si="6">AVERAGE(G39:I39)</f>
        <v>4106.5555555555557</v>
      </c>
      <c r="K39" s="47">
        <f t="shared" si="6"/>
        <v>4470.4074074074078</v>
      </c>
      <c r="L39" s="47">
        <f t="shared" si="6"/>
        <v>4161.8765432098771</v>
      </c>
      <c r="M39" s="47">
        <f t="shared" si="6"/>
        <v>4246.2798353909466</v>
      </c>
      <c r="N39" s="47">
        <f t="shared" si="6"/>
        <v>4292.8545953360772</v>
      </c>
    </row>
    <row r="40" spans="2:14" ht="17.25" customHeight="1" outlineLevel="1">
      <c r="B40" t="s">
        <v>136</v>
      </c>
      <c r="E40" s="12"/>
      <c r="F40" s="45">
        <v>7.0000000000000007E-2</v>
      </c>
      <c r="G40" s="45">
        <v>7.0000000000000007E-2</v>
      </c>
      <c r="H40" s="45">
        <v>7.0000000000000007E-2</v>
      </c>
      <c r="I40" s="45">
        <v>0.02</v>
      </c>
      <c r="J40" s="45">
        <v>7.0000000000000007E-2</v>
      </c>
      <c r="K40" s="45">
        <v>7.0000000000000007E-2</v>
      </c>
      <c r="L40" s="45">
        <v>7.0000000000000007E-2</v>
      </c>
      <c r="M40" s="45">
        <v>7.0000000000000007E-2</v>
      </c>
      <c r="N40" s="45">
        <v>7.0000000000000007E-2</v>
      </c>
    </row>
    <row r="41" spans="2:14" ht="17.25" customHeight="1" outlineLevel="1">
      <c r="B41" t="s">
        <v>158</v>
      </c>
      <c r="E41" s="12"/>
      <c r="F41" s="15">
        <f>(SUM(F168:F172)/F66)</f>
        <v>-3.9711538461538465E-2</v>
      </c>
      <c r="G41" s="15">
        <f>(SUM(G168:G172)/G66)</f>
        <v>5.0162396246842295E-2</v>
      </c>
      <c r="H41" s="15">
        <f>(SUM(H168:H172)/H66)</f>
        <v>3.0680224403927068E-2</v>
      </c>
      <c r="I41" s="15">
        <v>0.03</v>
      </c>
      <c r="J41" s="45">
        <v>0.03</v>
      </c>
      <c r="K41" s="45">
        <v>0.03</v>
      </c>
      <c r="L41" s="45">
        <v>0.03</v>
      </c>
      <c r="M41" s="45">
        <v>0.03</v>
      </c>
      <c r="N41" s="45">
        <v>0.03</v>
      </c>
    </row>
    <row r="42" spans="2:14" ht="17.25" customHeight="1" outlineLevel="1">
      <c r="E42" s="12"/>
      <c r="F42" s="15"/>
      <c r="G42" s="16"/>
      <c r="H42" s="16"/>
      <c r="I42" s="12"/>
      <c r="J42" s="12"/>
      <c r="K42" s="12"/>
      <c r="L42" s="12"/>
      <c r="M42" s="12"/>
      <c r="N42" s="12"/>
    </row>
    <row r="43" spans="2:14" ht="21.75" customHeight="1" outlineLevel="1">
      <c r="E43" s="12"/>
      <c r="F43" s="15"/>
      <c r="G43" s="16"/>
      <c r="H43" s="16"/>
      <c r="I43" s="12"/>
      <c r="J43" s="12"/>
      <c r="K43" s="12"/>
      <c r="L43" s="12"/>
      <c r="M43" s="12"/>
      <c r="N43" s="12"/>
    </row>
    <row r="44" spans="2:14" ht="17.25" customHeight="1" outlineLevel="1">
      <c r="B44" s="53" t="s">
        <v>179</v>
      </c>
      <c r="E44" s="12"/>
      <c r="F44" s="15"/>
      <c r="G44" s="16"/>
      <c r="H44" s="16"/>
      <c r="I44" s="12"/>
      <c r="J44" s="12"/>
      <c r="K44" s="12"/>
      <c r="L44" s="12"/>
      <c r="M44" s="12"/>
      <c r="N44" s="12"/>
    </row>
    <row r="45" spans="2:14" ht="17.25" customHeight="1" outlineLevel="1">
      <c r="B45" t="s">
        <v>115</v>
      </c>
      <c r="E45" s="12"/>
      <c r="F45" s="12"/>
      <c r="G45" s="13">
        <f>(G59-F59)/F59</f>
        <v>7.6450358008682412E-2</v>
      </c>
      <c r="H45" s="13">
        <f>(H59-G59)/G59</f>
        <v>7.1387419473105326E-2</v>
      </c>
      <c r="I45" s="43">
        <v>0.08</v>
      </c>
      <c r="J45" s="43">
        <v>0.1</v>
      </c>
      <c r="K45" s="43">
        <v>0.1</v>
      </c>
      <c r="L45" s="43">
        <v>0.2</v>
      </c>
      <c r="M45" s="43">
        <v>0.08</v>
      </c>
      <c r="N45" s="43">
        <v>0.08</v>
      </c>
    </row>
    <row r="46" spans="2:14" ht="17.25" customHeight="1" outlineLevel="1">
      <c r="B46" t="s">
        <v>112</v>
      </c>
      <c r="E46" s="12"/>
      <c r="F46" s="12"/>
      <c r="G46" s="13">
        <f>(G62-F62)/F62</f>
        <v>3.8470398525685325E-2</v>
      </c>
      <c r="H46" s="13">
        <f>(H62-G62)/G62</f>
        <v>7.4534161490683232E-2</v>
      </c>
      <c r="I46" s="44">
        <v>0.04</v>
      </c>
      <c r="J46" s="44">
        <v>0.03</v>
      </c>
      <c r="K46" s="44">
        <v>0.03</v>
      </c>
      <c r="L46" s="44">
        <v>0.03</v>
      </c>
      <c r="M46" s="44">
        <v>0.03</v>
      </c>
      <c r="N46" s="44">
        <v>0.03</v>
      </c>
    </row>
    <row r="47" spans="2:14" ht="17.25" customHeight="1" outlineLevel="1">
      <c r="B47" t="s">
        <v>113</v>
      </c>
      <c r="E47" s="12"/>
      <c r="F47" s="12"/>
      <c r="G47" s="13">
        <f>(G64-F64)/F64</f>
        <v>8.5327611817131541E-2</v>
      </c>
      <c r="H47" s="13">
        <f>(H64-G64)/G64</f>
        <v>-1.8248175182481751E-3</v>
      </c>
      <c r="I47" s="44">
        <v>0.02</v>
      </c>
      <c r="J47" s="44">
        <v>0.02</v>
      </c>
      <c r="K47" s="44">
        <v>0.02</v>
      </c>
      <c r="L47" s="44">
        <v>0.02</v>
      </c>
      <c r="M47" s="44">
        <v>0.02</v>
      </c>
      <c r="N47" s="44">
        <v>0.02</v>
      </c>
    </row>
    <row r="48" spans="2:14" ht="17.25" customHeight="1" outlineLevel="1">
      <c r="B48" t="s">
        <v>265</v>
      </c>
      <c r="E48" s="12"/>
      <c r="F48" s="12"/>
      <c r="G48" s="14">
        <f>G70/AVERAGE(F125:G125)</f>
        <v>4.5067300810380254E-2</v>
      </c>
      <c r="H48" s="14">
        <f>H70/AVERAGE(G125:H125)</f>
        <v>5.1851691146161019E-2</v>
      </c>
      <c r="I48" s="43">
        <v>0.05</v>
      </c>
      <c r="J48" s="43">
        <v>0.05</v>
      </c>
      <c r="K48" s="43">
        <v>0.05</v>
      </c>
      <c r="L48" s="43">
        <v>0.05</v>
      </c>
      <c r="M48" s="43">
        <v>0.05</v>
      </c>
      <c r="N48" s="43">
        <v>0.05</v>
      </c>
    </row>
    <row r="49" spans="1:19" ht="17.25" customHeight="1" outlineLevel="1">
      <c r="B49" t="s">
        <v>110</v>
      </c>
      <c r="E49" s="12"/>
      <c r="F49" s="14">
        <f>F73/F72</f>
        <v>0.16437947494033414</v>
      </c>
      <c r="G49" s="14">
        <f t="shared" ref="G49:H49" si="7">G73/G72</f>
        <v>0.19343252950230888</v>
      </c>
      <c r="H49" s="14">
        <f t="shared" si="7"/>
        <v>0.1412827859819264</v>
      </c>
      <c r="I49" s="43">
        <v>0.17</v>
      </c>
      <c r="J49" s="43">
        <v>0.17</v>
      </c>
      <c r="K49" s="43">
        <v>0.17</v>
      </c>
      <c r="L49" s="43">
        <v>0.17</v>
      </c>
      <c r="M49" s="43">
        <v>0.17</v>
      </c>
      <c r="N49" s="43">
        <v>0.17</v>
      </c>
    </row>
    <row r="50" spans="1:19" ht="17.25" customHeight="1" outlineLevel="1">
      <c r="B50" t="s">
        <v>134</v>
      </c>
      <c r="E50" s="12"/>
      <c r="F50" s="48">
        <v>3212</v>
      </c>
      <c r="G50" s="48">
        <v>3162</v>
      </c>
      <c r="H50" s="48">
        <v>3138</v>
      </c>
      <c r="I50" s="47">
        <f>H50+(1.01)</f>
        <v>3139.01</v>
      </c>
      <c r="J50" s="47">
        <f>I50+(1.01)</f>
        <v>3140.0200000000004</v>
      </c>
      <c r="K50" s="47">
        <f t="shared" ref="K50:N50" si="8">J50+(1.01)</f>
        <v>3141.0300000000007</v>
      </c>
      <c r="L50" s="47">
        <f t="shared" si="8"/>
        <v>3142.0400000000009</v>
      </c>
      <c r="M50" s="47">
        <f t="shared" si="8"/>
        <v>3143.0500000000011</v>
      </c>
      <c r="N50" s="47">
        <f t="shared" si="8"/>
        <v>3144.0600000000013</v>
      </c>
    </row>
    <row r="51" spans="1:19" ht="17.25" customHeight="1" outlineLevel="1">
      <c r="B51" t="s">
        <v>135</v>
      </c>
      <c r="E51" s="12"/>
      <c r="F51" s="46">
        <v>3315</v>
      </c>
      <c r="G51" s="46">
        <v>3015</v>
      </c>
      <c r="H51" s="46">
        <v>5396</v>
      </c>
      <c r="I51" s="47">
        <f t="shared" ref="I51:N51" si="9">AVERAGE(F51:H51)</f>
        <v>3908.6666666666665</v>
      </c>
      <c r="J51" s="47">
        <f t="shared" si="9"/>
        <v>4106.5555555555557</v>
      </c>
      <c r="K51" s="47">
        <f t="shared" si="9"/>
        <v>4470.4074074074078</v>
      </c>
      <c r="L51" s="47">
        <f t="shared" si="9"/>
        <v>4161.8765432098771</v>
      </c>
      <c r="M51" s="47">
        <f t="shared" si="9"/>
        <v>4246.2798353909466</v>
      </c>
      <c r="N51" s="47">
        <f t="shared" si="9"/>
        <v>4292.8545953360772</v>
      </c>
    </row>
    <row r="52" spans="1:19" ht="17.25" customHeight="1" outlineLevel="1">
      <c r="B52" t="s">
        <v>136</v>
      </c>
      <c r="E52" s="12"/>
      <c r="F52" s="45">
        <v>7.0000000000000007E-2</v>
      </c>
      <c r="G52" s="45">
        <v>7.0000000000000007E-2</v>
      </c>
      <c r="H52" s="45">
        <v>7.0000000000000007E-2</v>
      </c>
      <c r="I52" s="45">
        <v>0.08</v>
      </c>
      <c r="J52" s="45">
        <v>0.08</v>
      </c>
      <c r="K52" s="45">
        <v>0.09</v>
      </c>
      <c r="L52" s="45">
        <v>0.09</v>
      </c>
      <c r="M52" s="45">
        <v>0.09</v>
      </c>
      <c r="N52" s="45">
        <v>0.1</v>
      </c>
    </row>
    <row r="53" spans="1:19" ht="17.25" customHeight="1" outlineLevel="1">
      <c r="B53" t="s">
        <v>158</v>
      </c>
      <c r="E53" s="12"/>
      <c r="F53" s="15">
        <f>(SUM(F168:F172)/F66)</f>
        <v>-3.9711538461538465E-2</v>
      </c>
      <c r="G53" s="15">
        <f>(SUM(G168:G172)/G66)</f>
        <v>5.0162396246842295E-2</v>
      </c>
      <c r="H53" s="15">
        <f>(SUM(H168:H172)/H66)</f>
        <v>3.0680224403927068E-2</v>
      </c>
      <c r="I53" s="15">
        <v>0.03</v>
      </c>
      <c r="J53" s="45">
        <v>0.03</v>
      </c>
      <c r="K53" s="45">
        <v>0.04</v>
      </c>
      <c r="L53" s="45">
        <v>0.04</v>
      </c>
      <c r="M53" s="45">
        <v>0.04</v>
      </c>
      <c r="N53" s="45">
        <v>0.05</v>
      </c>
    </row>
    <row r="54" spans="1:19" ht="17.25" customHeight="1">
      <c r="E54" s="12"/>
      <c r="F54" s="15"/>
      <c r="G54" s="16"/>
      <c r="H54" s="16"/>
      <c r="I54" s="12"/>
      <c r="J54" s="12"/>
      <c r="K54" s="12"/>
      <c r="L54" s="12"/>
      <c r="M54" s="12"/>
      <c r="N54" s="12"/>
    </row>
    <row r="55" spans="1:19" ht="24">
      <c r="A55" t="s">
        <v>229</v>
      </c>
      <c r="B55" s="9" t="s">
        <v>63</v>
      </c>
      <c r="C55" s="32"/>
      <c r="D55" s="33"/>
      <c r="E55" s="34"/>
      <c r="F55" s="126" t="s">
        <v>1</v>
      </c>
      <c r="G55" s="126"/>
      <c r="H55" s="126"/>
      <c r="I55" s="125" t="s">
        <v>0</v>
      </c>
      <c r="J55" s="125"/>
      <c r="K55" s="125"/>
      <c r="L55" s="125"/>
      <c r="M55" s="125"/>
      <c r="N55" s="125"/>
    </row>
    <row r="56" spans="1:19" outlineLevel="1">
      <c r="B56" s="3" t="s">
        <v>64</v>
      </c>
      <c r="C56" s="3"/>
      <c r="E56" s="12"/>
      <c r="F56" s="28">
        <v>44926</v>
      </c>
      <c r="G56" s="28">
        <f t="shared" ref="G56:N56" si="10">EOMONTH(F56,12)</f>
        <v>45291</v>
      </c>
      <c r="H56" s="28">
        <f t="shared" si="10"/>
        <v>45657</v>
      </c>
      <c r="I56" s="28">
        <f t="shared" si="10"/>
        <v>46022</v>
      </c>
      <c r="J56" s="28">
        <f t="shared" si="10"/>
        <v>46387</v>
      </c>
      <c r="K56" s="28">
        <f t="shared" si="10"/>
        <v>46752</v>
      </c>
      <c r="L56" s="28">
        <f t="shared" si="10"/>
        <v>47118</v>
      </c>
      <c r="M56" s="28">
        <f t="shared" si="10"/>
        <v>47483</v>
      </c>
      <c r="N56" s="28">
        <f t="shared" si="10"/>
        <v>47848</v>
      </c>
    </row>
    <row r="57" spans="1:19" outlineLevel="1">
      <c r="B57" t="s">
        <v>2</v>
      </c>
      <c r="E57" s="12"/>
      <c r="F57" s="19">
        <v>14460</v>
      </c>
      <c r="G57" s="19">
        <v>15630</v>
      </c>
      <c r="H57" s="19">
        <v>16637</v>
      </c>
      <c r="I57" s="20">
        <f>H57*(1+((I11*$H$92)))</f>
        <v>17178.239282362145</v>
      </c>
      <c r="J57" s="20">
        <f>I57*(1+((J11*$H$92)))</f>
        <v>17876.798059592933</v>
      </c>
      <c r="K57" s="20">
        <f>J57*(1+((K11*$H$92)))</f>
        <v>18603.763960349308</v>
      </c>
      <c r="L57" s="20">
        <f>K57*(1+((L11*$H$92)))</f>
        <v>19511.597811566546</v>
      </c>
      <c r="M57" s="20">
        <f>L57*(1+((M11*$H$92)))</f>
        <v>20781.110728230731</v>
      </c>
      <c r="N57" s="20">
        <f>M57*(1+((N11*$H$92)))</f>
        <v>22133.223904552884</v>
      </c>
      <c r="P57" s="2"/>
      <c r="Q57" s="2"/>
      <c r="R57" s="2"/>
      <c r="S57" s="2"/>
    </row>
    <row r="58" spans="1:19" outlineLevel="1">
      <c r="B58" t="s">
        <v>3</v>
      </c>
      <c r="E58" s="12"/>
      <c r="F58" s="19">
        <v>3277</v>
      </c>
      <c r="G58" s="19">
        <v>3463</v>
      </c>
      <c r="H58" s="19">
        <v>3819</v>
      </c>
      <c r="I58" s="20">
        <f>H58*(1+(I11*$H$93))</f>
        <v>3847.5192823621428</v>
      </c>
      <c r="J58" s="20">
        <f>I58*(1+(J11*$H$93))</f>
        <v>3883.4346033910365</v>
      </c>
      <c r="K58" s="20">
        <f>J58*(1+(K11*$H$93))</f>
        <v>3919.6851820729644</v>
      </c>
      <c r="L58" s="20">
        <f>K58*(1+(L11*$H$93))</f>
        <v>3963.5919410981987</v>
      </c>
      <c r="M58" s="20">
        <f>L58*(1+(M11*$H$93))</f>
        <v>4022.7900546025162</v>
      </c>
      <c r="N58" s="20">
        <f>M58*(1+(N11*$H$93))</f>
        <v>4082.8723198294497</v>
      </c>
    </row>
    <row r="59" spans="1:19" outlineLevel="1">
      <c r="B59" s="128" t="s">
        <v>4</v>
      </c>
      <c r="C59" s="128"/>
      <c r="D59" s="128"/>
      <c r="E59" s="129"/>
      <c r="F59" s="130">
        <f t="shared" ref="F59:N59" si="11">SUM(F57:F58)</f>
        <v>17737</v>
      </c>
      <c r="G59" s="130">
        <f t="shared" si="11"/>
        <v>19093</v>
      </c>
      <c r="H59" s="130">
        <f t="shared" si="11"/>
        <v>20456</v>
      </c>
      <c r="I59" s="130">
        <f t="shared" si="11"/>
        <v>21025.758564724289</v>
      </c>
      <c r="J59" s="130">
        <f t="shared" si="11"/>
        <v>21760.23266298397</v>
      </c>
      <c r="K59" s="130">
        <f t="shared" si="11"/>
        <v>22523.449142422272</v>
      </c>
      <c r="L59" s="130">
        <f t="shared" si="11"/>
        <v>23475.189752664744</v>
      </c>
      <c r="M59" s="130">
        <f t="shared" si="11"/>
        <v>24803.900782833247</v>
      </c>
      <c r="N59" s="130">
        <f t="shared" si="11"/>
        <v>26216.096224382334</v>
      </c>
    </row>
    <row r="60" spans="1:19" outlineLevel="1">
      <c r="B60" t="s">
        <v>5</v>
      </c>
      <c r="E60" s="12"/>
      <c r="F60" s="19">
        <f>5332-F68</f>
        <v>2120</v>
      </c>
      <c r="G60" s="19">
        <f>5332-G68</f>
        <v>2170</v>
      </c>
      <c r="H60" s="19">
        <f>5332-H68</f>
        <v>2194</v>
      </c>
      <c r="I60" s="20">
        <f>H60*(1+I12)</f>
        <v>2281.7600000000002</v>
      </c>
      <c r="J60" s="20">
        <f>I60*(1+J12)</f>
        <v>2373.0304000000001</v>
      </c>
      <c r="K60" s="20">
        <f>J60*(1+K12)</f>
        <v>2467.9516160000003</v>
      </c>
      <c r="L60" s="20">
        <f>K60*(1+L12)</f>
        <v>2566.6696806400005</v>
      </c>
      <c r="M60" s="20">
        <f>L60*(1+M12)</f>
        <v>2669.3364678656008</v>
      </c>
      <c r="N60" s="20">
        <f>M60*(1+N12)</f>
        <v>2776.109926580225</v>
      </c>
    </row>
    <row r="61" spans="1:19" outlineLevel="1">
      <c r="B61" t="s">
        <v>6</v>
      </c>
      <c r="E61" s="12"/>
      <c r="F61" s="19">
        <v>2221</v>
      </c>
      <c r="G61" s="19">
        <v>2338</v>
      </c>
      <c r="H61" s="19">
        <v>2650</v>
      </c>
      <c r="I61" s="20">
        <f>H61*(1+I12)</f>
        <v>2756</v>
      </c>
      <c r="J61" s="20">
        <f>I61*(1+J12)</f>
        <v>2866.2400000000002</v>
      </c>
      <c r="K61" s="20">
        <f>J61*(1+K12)</f>
        <v>2980.8896000000004</v>
      </c>
      <c r="L61" s="20">
        <f>K61*(1+L12)</f>
        <v>3100.1251840000004</v>
      </c>
      <c r="M61" s="20">
        <f>L61*(1+M12)</f>
        <v>3224.1301913600005</v>
      </c>
      <c r="N61" s="20">
        <f>M61*(1+N12)</f>
        <v>3353.0953990144008</v>
      </c>
    </row>
    <row r="62" spans="1:19" outlineLevel="1">
      <c r="B62" s="128" t="s">
        <v>109</v>
      </c>
      <c r="C62" s="128"/>
      <c r="D62" s="128"/>
      <c r="E62" s="129"/>
      <c r="F62" s="130">
        <f>SUM(F60:F61)</f>
        <v>4341</v>
      </c>
      <c r="G62" s="130">
        <f t="shared" ref="G62:N62" si="12">SUM(G60:G61)</f>
        <v>4508</v>
      </c>
      <c r="H62" s="130">
        <f t="shared" si="12"/>
        <v>4844</v>
      </c>
      <c r="I62" s="130">
        <f t="shared" si="12"/>
        <v>5037.76</v>
      </c>
      <c r="J62" s="130">
        <f t="shared" si="12"/>
        <v>5239.2704000000003</v>
      </c>
      <c r="K62" s="130">
        <f t="shared" si="12"/>
        <v>5448.8412160000007</v>
      </c>
      <c r="L62" s="130">
        <f t="shared" si="12"/>
        <v>5666.7948646400009</v>
      </c>
      <c r="M62" s="130">
        <f t="shared" si="12"/>
        <v>5893.4666592256017</v>
      </c>
      <c r="N62" s="130">
        <f t="shared" si="12"/>
        <v>6129.2053255946257</v>
      </c>
    </row>
    <row r="63" spans="1:19" outlineLevel="1">
      <c r="B63" s="128" t="s">
        <v>9</v>
      </c>
      <c r="C63" s="128"/>
      <c r="D63" s="128"/>
      <c r="E63" s="129"/>
      <c r="F63" s="130">
        <f t="shared" ref="F63:N63" si="13">F59-F62</f>
        <v>13396</v>
      </c>
      <c r="G63" s="130">
        <f t="shared" si="13"/>
        <v>14585</v>
      </c>
      <c r="H63" s="130">
        <f t="shared" si="13"/>
        <v>15612</v>
      </c>
      <c r="I63" s="130">
        <f t="shared" si="13"/>
        <v>15987.998564724288</v>
      </c>
      <c r="J63" s="130">
        <f t="shared" si="13"/>
        <v>16520.962262983969</v>
      </c>
      <c r="K63" s="130">
        <f t="shared" si="13"/>
        <v>17074.607926422272</v>
      </c>
      <c r="L63" s="130">
        <f t="shared" si="13"/>
        <v>17808.394888024744</v>
      </c>
      <c r="M63" s="130">
        <f t="shared" si="13"/>
        <v>18910.434123607643</v>
      </c>
      <c r="N63" s="130">
        <f t="shared" si="13"/>
        <v>20086.890898787708</v>
      </c>
    </row>
    <row r="64" spans="1:19" outlineLevel="1">
      <c r="B64" t="s">
        <v>7</v>
      </c>
      <c r="E64" s="12"/>
      <c r="F64" s="19">
        <v>6059</v>
      </c>
      <c r="G64" s="19">
        <v>6576</v>
      </c>
      <c r="H64" s="19">
        <v>6564</v>
      </c>
      <c r="I64" s="20">
        <f>H64*(1+I13)</f>
        <v>6695.28</v>
      </c>
      <c r="J64" s="20">
        <f>I64*(1+J13)</f>
        <v>6829.1855999999998</v>
      </c>
      <c r="K64" s="20">
        <f>J64*(1+K13)</f>
        <v>6965.7693120000004</v>
      </c>
      <c r="L64" s="20">
        <f>K64*(1+L13)</f>
        <v>7105.0846982400008</v>
      </c>
      <c r="M64" s="20">
        <f>L64*(1+M13)</f>
        <v>7247.1863922048005</v>
      </c>
      <c r="N64" s="20">
        <f>M64*(1+N13)</f>
        <v>7392.130120048897</v>
      </c>
    </row>
    <row r="65" spans="2:14" outlineLevel="1">
      <c r="B65" t="s">
        <v>8</v>
      </c>
      <c r="E65" s="12"/>
      <c r="F65" s="19">
        <v>-54</v>
      </c>
      <c r="G65" s="19">
        <v>-167</v>
      </c>
      <c r="H65" s="19" t="s">
        <v>18</v>
      </c>
      <c r="I65" s="12" t="s">
        <v>18</v>
      </c>
      <c r="J65" s="12" t="s">
        <v>18</v>
      </c>
      <c r="K65" s="12" t="s">
        <v>18</v>
      </c>
      <c r="L65" s="12" t="s">
        <v>18</v>
      </c>
      <c r="M65" s="12" t="s">
        <v>18</v>
      </c>
      <c r="N65" s="12" t="s">
        <v>18</v>
      </c>
    </row>
    <row r="66" spans="2:14" outlineLevel="1">
      <c r="B66" s="149" t="s">
        <v>157</v>
      </c>
      <c r="C66" s="149"/>
      <c r="D66" s="150"/>
      <c r="E66" s="151"/>
      <c r="F66" s="152">
        <f>F62+F64</f>
        <v>10400</v>
      </c>
      <c r="G66" s="152">
        <f t="shared" ref="G66:H66" si="14">G62+G64</f>
        <v>11084</v>
      </c>
      <c r="H66" s="152">
        <f t="shared" si="14"/>
        <v>11408</v>
      </c>
      <c r="I66" s="152">
        <f>H66*(1+I13)</f>
        <v>11636.16</v>
      </c>
      <c r="J66" s="152">
        <f>I66*(1+J13)</f>
        <v>11868.8832</v>
      </c>
      <c r="K66" s="152">
        <f>J66*(1+K13)</f>
        <v>12106.260864</v>
      </c>
      <c r="L66" s="152">
        <f>K66*(1+L13)</f>
        <v>12348.386081279999</v>
      </c>
      <c r="M66" s="152">
        <f>L66*(1+M13)</f>
        <v>12595.3538029056</v>
      </c>
      <c r="N66" s="152">
        <f>M66*(1+N13)</f>
        <v>12847.260878963712</v>
      </c>
    </row>
    <row r="67" spans="2:14" outlineLevel="1">
      <c r="B67" s="128" t="s">
        <v>10</v>
      </c>
      <c r="C67" s="128"/>
      <c r="D67" s="128"/>
      <c r="E67" s="129"/>
      <c r="F67" s="130">
        <f>F63-SUM(F64:F65)</f>
        <v>7391</v>
      </c>
      <c r="G67" s="130">
        <f>G63-SUM(G64:G65)</f>
        <v>8176</v>
      </c>
      <c r="H67" s="130">
        <f>H63-SUM(H64:H65)</f>
        <v>9048</v>
      </c>
      <c r="I67" s="130">
        <f t="shared" ref="I67:N67" si="15">I63-SUM(I64:I65)</f>
        <v>9292.7185647242877</v>
      </c>
      <c r="J67" s="130">
        <f t="shared" si="15"/>
        <v>9691.776662983968</v>
      </c>
      <c r="K67" s="130">
        <f t="shared" si="15"/>
        <v>10108.838614422271</v>
      </c>
      <c r="L67" s="130">
        <f t="shared" si="15"/>
        <v>10703.310189784745</v>
      </c>
      <c r="M67" s="130">
        <f t="shared" si="15"/>
        <v>11663.247731402844</v>
      </c>
      <c r="N67" s="130">
        <f t="shared" si="15"/>
        <v>12694.760778738811</v>
      </c>
    </row>
    <row r="68" spans="2:14" outlineLevel="1">
      <c r="B68" t="s">
        <v>133</v>
      </c>
      <c r="E68" s="12"/>
      <c r="F68" s="19">
        <v>3212</v>
      </c>
      <c r="G68" s="19">
        <v>3162</v>
      </c>
      <c r="H68" s="19">
        <v>3138</v>
      </c>
      <c r="I68" s="20">
        <f>I16</f>
        <v>3170.6666666666665</v>
      </c>
      <c r="J68" s="20">
        <f>J16</f>
        <v>3156.8888888888887</v>
      </c>
      <c r="K68" s="20">
        <f>K16</f>
        <v>3155.1851851851848</v>
      </c>
      <c r="L68" s="20">
        <f>L16</f>
        <v>3160.9135802469132</v>
      </c>
      <c r="M68" s="20">
        <f>M16</f>
        <v>3157.662551440329</v>
      </c>
      <c r="N68" s="20">
        <f>N16</f>
        <v>3157.9204389574757</v>
      </c>
    </row>
    <row r="69" spans="2:14" outlineLevel="1">
      <c r="B69" s="128" t="s">
        <v>13</v>
      </c>
      <c r="C69" s="128"/>
      <c r="D69" s="128"/>
      <c r="E69" s="129"/>
      <c r="F69" s="130">
        <f>F67-F68</f>
        <v>4179</v>
      </c>
      <c r="G69" s="130">
        <f t="shared" ref="G69:N69" si="16">G67-G68</f>
        <v>5014</v>
      </c>
      <c r="H69" s="130">
        <f t="shared" si="16"/>
        <v>5910</v>
      </c>
      <c r="I69" s="130">
        <f t="shared" si="16"/>
        <v>6122.0518980576217</v>
      </c>
      <c r="J69" s="130">
        <f t="shared" si="16"/>
        <v>6534.8877740950793</v>
      </c>
      <c r="K69" s="130">
        <f t="shared" si="16"/>
        <v>6953.653429237087</v>
      </c>
      <c r="L69" s="130">
        <f t="shared" si="16"/>
        <v>7542.396609537831</v>
      </c>
      <c r="M69" s="130">
        <f t="shared" si="16"/>
        <v>8505.5851799625143</v>
      </c>
      <c r="N69" s="130">
        <f t="shared" si="16"/>
        <v>9536.8403397813363</v>
      </c>
    </row>
    <row r="70" spans="2:14" outlineLevel="1">
      <c r="B70" t="s">
        <v>11</v>
      </c>
      <c r="E70" s="12"/>
      <c r="F70" s="19">
        <v>733</v>
      </c>
      <c r="G70" s="19">
        <v>976</v>
      </c>
      <c r="H70" s="19">
        <v>1195</v>
      </c>
      <c r="I70" s="127">
        <f>H70*(1-I14)</f>
        <v>1135.25</v>
      </c>
      <c r="J70" s="127">
        <f t="shared" ref="J70:N70" si="17">I70*(1-J14)</f>
        <v>1078.4875</v>
      </c>
      <c r="K70" s="127">
        <f t="shared" si="17"/>
        <v>1024.5631249999999</v>
      </c>
      <c r="L70" s="127">
        <f t="shared" si="17"/>
        <v>973.33496874999992</v>
      </c>
      <c r="M70" s="127">
        <f t="shared" si="17"/>
        <v>924.6682203124999</v>
      </c>
      <c r="N70" s="127">
        <f t="shared" si="17"/>
        <v>878.43480929687485</v>
      </c>
    </row>
    <row r="71" spans="2:14" outlineLevel="1">
      <c r="B71" t="s">
        <v>12</v>
      </c>
      <c r="E71" s="12"/>
      <c r="F71" s="19">
        <v>94</v>
      </c>
      <c r="G71" s="19">
        <v>140</v>
      </c>
      <c r="H71" s="19">
        <v>178</v>
      </c>
      <c r="I71" s="127">
        <f t="shared" ref="I71:N71" si="18">H71*(1+0.02)</f>
        <v>181.56</v>
      </c>
      <c r="J71" s="127">
        <f t="shared" si="18"/>
        <v>185.19120000000001</v>
      </c>
      <c r="K71" s="127">
        <f t="shared" si="18"/>
        <v>188.89502400000001</v>
      </c>
      <c r="L71" s="127">
        <f t="shared" si="18"/>
        <v>192.67292448000001</v>
      </c>
      <c r="M71" s="127">
        <f t="shared" si="18"/>
        <v>196.52638296960001</v>
      </c>
      <c r="N71" s="127">
        <f t="shared" si="18"/>
        <v>200.45691062899201</v>
      </c>
    </row>
    <row r="72" spans="2:14" outlineLevel="1">
      <c r="B72" s="128" t="s">
        <v>149</v>
      </c>
      <c r="C72" s="128"/>
      <c r="D72" s="128"/>
      <c r="E72" s="129"/>
      <c r="F72" s="130">
        <f>F69-SUM(F70:F71)</f>
        <v>3352</v>
      </c>
      <c r="G72" s="130">
        <f t="shared" ref="G72:N72" si="19">G69-SUM(G70:G71)</f>
        <v>3898</v>
      </c>
      <c r="H72" s="130">
        <f t="shared" si="19"/>
        <v>4537</v>
      </c>
      <c r="I72" s="130">
        <f t="shared" si="19"/>
        <v>4805.2418980576222</v>
      </c>
      <c r="J72" s="130">
        <f t="shared" si="19"/>
        <v>5271.2090740950789</v>
      </c>
      <c r="K72" s="130">
        <f t="shared" si="19"/>
        <v>5740.195280237087</v>
      </c>
      <c r="L72" s="130">
        <f t="shared" si="19"/>
        <v>6376.3887163078307</v>
      </c>
      <c r="M72" s="130">
        <f t="shared" si="19"/>
        <v>7384.3905766804146</v>
      </c>
      <c r="N72" s="130">
        <f t="shared" si="19"/>
        <v>8457.9486198554696</v>
      </c>
    </row>
    <row r="73" spans="2:14" outlineLevel="1">
      <c r="B73" t="s">
        <v>14</v>
      </c>
      <c r="E73" s="12"/>
      <c r="F73" s="19">
        <v>551</v>
      </c>
      <c r="G73" s="19">
        <v>754</v>
      </c>
      <c r="H73" s="19">
        <v>641</v>
      </c>
      <c r="I73" s="127">
        <f>I72*I15</f>
        <v>816.89112266979578</v>
      </c>
      <c r="J73" s="127">
        <f>J72*J15</f>
        <v>896.10554259616345</v>
      </c>
      <c r="K73" s="127">
        <f>K72*K15</f>
        <v>975.83319764030489</v>
      </c>
      <c r="L73" s="127">
        <f>L72*L15</f>
        <v>1083.9860817723313</v>
      </c>
      <c r="M73" s="127">
        <f>M72*M15</f>
        <v>1255.3463980356705</v>
      </c>
      <c r="N73" s="127">
        <f>N72*N15</f>
        <v>1437.8512653754299</v>
      </c>
    </row>
    <row r="74" spans="2:14" outlineLevel="1">
      <c r="B74" s="128" t="s">
        <v>114</v>
      </c>
      <c r="C74" s="128"/>
      <c r="D74" s="128"/>
      <c r="E74" s="129"/>
      <c r="F74" s="130">
        <f>F72-F73</f>
        <v>2801</v>
      </c>
      <c r="G74" s="130">
        <f>G72-G73</f>
        <v>3144</v>
      </c>
      <c r="H74" s="130">
        <f>H72-H73</f>
        <v>3896</v>
      </c>
      <c r="I74" s="130">
        <f t="shared" ref="I74:N74" si="20">I72-I73</f>
        <v>3988.3507753878266</v>
      </c>
      <c r="J74" s="130">
        <f t="shared" si="20"/>
        <v>4375.1035314989158</v>
      </c>
      <c r="K74" s="130">
        <f t="shared" si="20"/>
        <v>4764.3620825967819</v>
      </c>
      <c r="L74" s="130">
        <f t="shared" si="20"/>
        <v>5292.4026345354996</v>
      </c>
      <c r="M74" s="130">
        <f t="shared" si="20"/>
        <v>6129.0441786447445</v>
      </c>
      <c r="N74" s="130">
        <f t="shared" si="20"/>
        <v>7020.0973544800399</v>
      </c>
    </row>
    <row r="75" spans="2:14" outlineLevel="1">
      <c r="B75" t="s">
        <v>25</v>
      </c>
      <c r="E75" s="12"/>
      <c r="F75" s="19">
        <v>220</v>
      </c>
      <c r="G75" s="19">
        <v>-15</v>
      </c>
      <c r="H75" s="19">
        <v>-685</v>
      </c>
      <c r="I75" s="20">
        <f t="shared" ref="I75:N75" si="21">AVERAGE(F75:H75)</f>
        <v>-160</v>
      </c>
      <c r="J75" s="20">
        <f t="shared" si="21"/>
        <v>-286.66666666666669</v>
      </c>
      <c r="K75" s="20">
        <f t="shared" si="21"/>
        <v>-377.22222222222223</v>
      </c>
      <c r="L75" s="20">
        <f t="shared" si="21"/>
        <v>-274.62962962962962</v>
      </c>
      <c r="M75" s="20">
        <f t="shared" si="21"/>
        <v>-312.83950617283949</v>
      </c>
      <c r="N75" s="20">
        <f t="shared" si="21"/>
        <v>-321.56378600823047</v>
      </c>
    </row>
    <row r="76" spans="2:14" outlineLevel="1">
      <c r="B76" s="37" t="s">
        <v>15</v>
      </c>
      <c r="C76" s="37"/>
      <c r="D76" s="37"/>
      <c r="E76" s="41"/>
      <c r="F76" s="40">
        <f>F72-F73+F75</f>
        <v>3021</v>
      </c>
      <c r="G76" s="40">
        <f>G72-G73+G75</f>
        <v>3129</v>
      </c>
      <c r="H76" s="40">
        <f>H72-H73+H75</f>
        <v>3211</v>
      </c>
      <c r="I76" s="40">
        <f t="shared" ref="I76:N76" si="22">I72-I73+I75</f>
        <v>3828.3507753878266</v>
      </c>
      <c r="J76" s="40">
        <f t="shared" si="22"/>
        <v>4088.4368648322493</v>
      </c>
      <c r="K76" s="40">
        <f t="shared" si="22"/>
        <v>4387.1398603745592</v>
      </c>
      <c r="L76" s="40">
        <f t="shared" si="22"/>
        <v>5017.77300490587</v>
      </c>
      <c r="M76" s="40">
        <f t="shared" si="22"/>
        <v>5816.2046724719048</v>
      </c>
      <c r="N76" s="40">
        <f t="shared" si="22"/>
        <v>6698.5335684718093</v>
      </c>
    </row>
    <row r="77" spans="2:14" outlineLevel="1">
      <c r="E77" s="12"/>
      <c r="F77" s="20"/>
      <c r="G77" s="20"/>
      <c r="H77" s="20"/>
      <c r="I77" s="12"/>
      <c r="J77" s="12"/>
      <c r="K77" s="12"/>
      <c r="L77" s="12"/>
      <c r="M77" s="12"/>
      <c r="N77" s="12"/>
    </row>
    <row r="78" spans="2:14" outlineLevel="1">
      <c r="B78" t="s">
        <v>16</v>
      </c>
      <c r="E78" s="12"/>
      <c r="F78" s="20">
        <v>628</v>
      </c>
      <c r="G78" s="20">
        <v>590</v>
      </c>
      <c r="H78" s="20">
        <v>561</v>
      </c>
      <c r="I78" s="20">
        <f t="shared" ref="I78:N78" si="23">H78+36</f>
        <v>597</v>
      </c>
      <c r="J78" s="20">
        <f t="shared" si="23"/>
        <v>633</v>
      </c>
      <c r="K78" s="20">
        <f t="shared" si="23"/>
        <v>669</v>
      </c>
      <c r="L78" s="20">
        <f t="shared" si="23"/>
        <v>705</v>
      </c>
      <c r="M78" s="20">
        <f t="shared" si="23"/>
        <v>741</v>
      </c>
      <c r="N78" s="20">
        <f t="shared" si="23"/>
        <v>777</v>
      </c>
    </row>
    <row r="79" spans="2:14" outlineLevel="1">
      <c r="B79" s="1" t="s">
        <v>17</v>
      </c>
      <c r="C79" s="1"/>
      <c r="E79" s="12"/>
      <c r="F79" s="25">
        <f t="shared" ref="F79:N79" si="24">F76/F78</f>
        <v>4.8105095541401273</v>
      </c>
      <c r="G79" s="25">
        <f t="shared" si="24"/>
        <v>5.3033898305084746</v>
      </c>
      <c r="H79" s="25">
        <f t="shared" si="24"/>
        <v>5.7237076648841354</v>
      </c>
      <c r="I79" s="25">
        <f t="shared" si="24"/>
        <v>6.412647864971234</v>
      </c>
      <c r="J79" s="25">
        <f t="shared" si="24"/>
        <v>6.4588260107934428</v>
      </c>
      <c r="K79" s="25">
        <f t="shared" si="24"/>
        <v>6.5577576388259482</v>
      </c>
      <c r="L79" s="25">
        <f t="shared" si="24"/>
        <v>7.1174085175969788</v>
      </c>
      <c r="M79" s="25">
        <f t="shared" si="24"/>
        <v>7.8491291126476446</v>
      </c>
      <c r="N79" s="25">
        <f t="shared" si="24"/>
        <v>8.621021323644543</v>
      </c>
    </row>
    <row r="80" spans="2:14" outlineLevel="1">
      <c r="E80" s="12"/>
      <c r="F80" s="12"/>
      <c r="G80" s="12"/>
      <c r="H80" s="12"/>
      <c r="I80" s="12"/>
      <c r="J80" s="12"/>
      <c r="K80" s="12"/>
      <c r="L80" s="12"/>
      <c r="M80" s="12"/>
      <c r="N80" s="12"/>
    </row>
    <row r="81" spans="2:14" outlineLevel="1">
      <c r="E81" s="12"/>
      <c r="F81" s="12"/>
      <c r="G81" s="12"/>
      <c r="H81" s="12"/>
      <c r="I81" s="12"/>
      <c r="J81" s="12"/>
      <c r="K81" s="12"/>
      <c r="L81" s="12"/>
      <c r="M81" s="12"/>
      <c r="N81" s="12"/>
    </row>
    <row r="82" spans="2:14" outlineLevel="1">
      <c r="B82" s="5" t="s">
        <v>19</v>
      </c>
      <c r="C82" s="5"/>
      <c r="D82" s="6"/>
      <c r="E82" s="17"/>
      <c r="F82" s="17"/>
      <c r="G82" s="17"/>
      <c r="H82" s="17"/>
      <c r="I82" s="12"/>
      <c r="J82" s="12"/>
      <c r="K82" s="12"/>
      <c r="L82" s="12"/>
      <c r="M82" s="12"/>
      <c r="N82" s="12"/>
    </row>
    <row r="83" spans="2:14" outlineLevel="1">
      <c r="B83" t="s">
        <v>20</v>
      </c>
      <c r="E83" s="12"/>
      <c r="F83" s="12"/>
      <c r="G83" s="15">
        <f>(G57-F57)/F57</f>
        <v>8.0912863070539423E-2</v>
      </c>
      <c r="H83" s="15">
        <f>(H57-G57)/G57</f>
        <v>6.442738323736405E-2</v>
      </c>
      <c r="I83" s="12"/>
      <c r="J83" s="12"/>
      <c r="K83" s="12"/>
      <c r="L83" s="12"/>
      <c r="M83" s="12"/>
      <c r="N83" s="12"/>
    </row>
    <row r="84" spans="2:14" outlineLevel="1">
      <c r="B84" t="s">
        <v>23</v>
      </c>
      <c r="E84" s="12"/>
      <c r="F84" s="12"/>
      <c r="G84" s="15">
        <f>(G63-F63)/F63</f>
        <v>8.8757838160644975E-2</v>
      </c>
      <c r="H84" s="15">
        <f>(H63-G63)/G63</f>
        <v>7.0414809736030162E-2</v>
      </c>
      <c r="I84" s="12"/>
      <c r="J84" s="12"/>
      <c r="K84" s="12"/>
      <c r="L84" s="12"/>
      <c r="M84" s="12"/>
      <c r="N84" s="12"/>
    </row>
    <row r="85" spans="2:14" outlineLevel="1">
      <c r="B85" t="s">
        <v>21</v>
      </c>
      <c r="E85" s="12"/>
      <c r="F85" s="12"/>
      <c r="G85" s="15">
        <f>(G67-F67)/F67</f>
        <v>0.10621025571641185</v>
      </c>
      <c r="H85" s="15">
        <f>(H67-G67)/G67</f>
        <v>0.10665362035225048</v>
      </c>
      <c r="I85" s="12"/>
      <c r="J85" s="12"/>
      <c r="K85" s="12"/>
      <c r="L85" s="12"/>
      <c r="M85" s="12"/>
      <c r="N85" s="12"/>
    </row>
    <row r="86" spans="2:14" outlineLevel="1">
      <c r="B86" t="s">
        <v>24</v>
      </c>
      <c r="E86" s="12"/>
      <c r="F86" s="12"/>
      <c r="G86" s="15">
        <f>(G64-F64)/F64</f>
        <v>8.5327611817131541E-2</v>
      </c>
      <c r="H86" s="15">
        <f>(H64-G64)/G64</f>
        <v>-1.8248175182481751E-3</v>
      </c>
      <c r="I86" s="12"/>
      <c r="J86" s="12"/>
      <c r="K86" s="12"/>
      <c r="L86" s="12"/>
      <c r="M86" s="12"/>
      <c r="N86" s="12"/>
    </row>
    <row r="87" spans="2:14" outlineLevel="1">
      <c r="B87" t="s">
        <v>22</v>
      </c>
      <c r="E87" s="12"/>
      <c r="F87" s="12"/>
      <c r="G87" s="15">
        <f>(G76-F76)/F76</f>
        <v>3.5749751737835157E-2</v>
      </c>
      <c r="H87" s="15">
        <f>(H76-G76)/G76</f>
        <v>2.6206455736657079E-2</v>
      </c>
      <c r="I87" s="12"/>
      <c r="J87" s="12"/>
      <c r="K87" s="12"/>
      <c r="L87" s="12"/>
      <c r="M87" s="12"/>
      <c r="N87" s="12"/>
    </row>
    <row r="88" spans="2:14" outlineLevel="1">
      <c r="E88" s="12"/>
      <c r="F88" s="12"/>
      <c r="G88" s="12"/>
      <c r="H88" s="12"/>
      <c r="I88" s="12"/>
      <c r="J88" s="12"/>
      <c r="K88" s="12"/>
      <c r="L88" s="12"/>
      <c r="M88" s="12"/>
      <c r="N88" s="12"/>
    </row>
    <row r="89" spans="2:14" outlineLevel="1">
      <c r="B89" t="s">
        <v>230</v>
      </c>
      <c r="E89" s="12"/>
      <c r="F89" s="14">
        <f>F63/F59</f>
        <v>0.75525737159609851</v>
      </c>
      <c r="G89" s="14">
        <f>G63/G59</f>
        <v>0.76389252605667002</v>
      </c>
      <c r="H89" s="14">
        <f>H63/H59</f>
        <v>0.7631990614000782</v>
      </c>
      <c r="I89" s="12"/>
      <c r="J89" s="12"/>
      <c r="K89" s="12"/>
      <c r="L89" s="12"/>
      <c r="M89" s="12"/>
      <c r="N89" s="12"/>
    </row>
    <row r="90" spans="2:14" outlineLevel="1">
      <c r="B90" t="s">
        <v>231</v>
      </c>
      <c r="E90" s="12"/>
      <c r="F90" s="14">
        <f>F67/F59</f>
        <v>0.41669955460337149</v>
      </c>
      <c r="G90" s="14">
        <f>G67/G59</f>
        <v>0.42821976640653642</v>
      </c>
      <c r="H90" s="14">
        <f>H67/H59</f>
        <v>0.4423152131403989</v>
      </c>
      <c r="I90" s="12"/>
      <c r="J90" s="12"/>
      <c r="K90" s="12"/>
      <c r="L90" s="12"/>
      <c r="M90" s="12"/>
      <c r="N90" s="12"/>
    </row>
    <row r="91" spans="2:14" outlineLevel="1">
      <c r="B91" t="s">
        <v>232</v>
      </c>
      <c r="E91" s="12"/>
      <c r="F91" s="14">
        <f>F76/F59</f>
        <v>0.17032192591757345</v>
      </c>
      <c r="G91" s="14">
        <f t="shared" ref="G91:H91" si="25">G76/G59</f>
        <v>0.16388205101346043</v>
      </c>
      <c r="H91" s="14">
        <f t="shared" si="25"/>
        <v>0.15697105983574502</v>
      </c>
      <c r="I91" s="12"/>
      <c r="J91" s="12"/>
      <c r="K91" s="12"/>
      <c r="L91" s="12"/>
      <c r="M91" s="12"/>
      <c r="N91" s="12"/>
    </row>
    <row r="92" spans="2:14" outlineLevel="1">
      <c r="B92" t="s">
        <v>131</v>
      </c>
      <c r="E92" s="12"/>
      <c r="F92" s="14">
        <f>F57/F59</f>
        <v>0.81524496814568415</v>
      </c>
      <c r="G92" s="14">
        <f>G57/G59</f>
        <v>0.81862462682658566</v>
      </c>
      <c r="H92" s="14">
        <f>H57/H59</f>
        <v>0.81330660930778254</v>
      </c>
      <c r="I92" s="12"/>
      <c r="J92" s="12"/>
      <c r="K92" s="12"/>
      <c r="L92" s="12"/>
      <c r="M92" s="12"/>
      <c r="N92" s="12"/>
    </row>
    <row r="93" spans="2:14" outlineLevel="1">
      <c r="B93" t="s">
        <v>130</v>
      </c>
      <c r="E93" s="12"/>
      <c r="F93" s="15">
        <f>F58/F59</f>
        <v>0.18475503185431583</v>
      </c>
      <c r="G93" s="15">
        <f>G58/G59</f>
        <v>0.18137537317341434</v>
      </c>
      <c r="H93" s="15">
        <f>H58/H59</f>
        <v>0.18669339069221744</v>
      </c>
      <c r="I93" s="12"/>
      <c r="J93" s="12"/>
      <c r="K93" s="12"/>
      <c r="L93" s="12"/>
      <c r="M93" s="12"/>
      <c r="N93" s="12"/>
    </row>
    <row r="94" spans="2:14" outlineLevel="1">
      <c r="B94" t="s">
        <v>128</v>
      </c>
      <c r="E94" s="12"/>
      <c r="F94" s="14">
        <f>F60/F62</f>
        <v>0.48836673577516704</v>
      </c>
      <c r="G94" s="14">
        <f>G60/G62</f>
        <v>0.48136645962732921</v>
      </c>
      <c r="H94" s="14">
        <f>H60/H62</f>
        <v>0.45293146160198183</v>
      </c>
      <c r="I94" s="12"/>
      <c r="J94" s="12"/>
      <c r="K94" s="12"/>
      <c r="L94" s="12"/>
      <c r="M94" s="12"/>
      <c r="N94" s="12"/>
    </row>
    <row r="95" spans="2:14" outlineLevel="1">
      <c r="B95" t="s">
        <v>129</v>
      </c>
      <c r="E95" s="12"/>
      <c r="F95" s="14">
        <f>F61/F63</f>
        <v>0.16579575992833681</v>
      </c>
      <c r="G95" s="14">
        <f>G61/G63</f>
        <v>0.16030167980802193</v>
      </c>
      <c r="H95" s="14">
        <f>H61/H63</f>
        <v>0.16974122469894953</v>
      </c>
      <c r="I95" s="12"/>
      <c r="J95" s="12"/>
      <c r="K95" s="12"/>
      <c r="L95" s="12"/>
      <c r="M95" s="12"/>
      <c r="N95" s="12"/>
    </row>
    <row r="96" spans="2:14" outlineLevel="1">
      <c r="B96" t="s">
        <v>132</v>
      </c>
      <c r="E96" s="12"/>
      <c r="F96" s="15"/>
      <c r="G96" s="16">
        <f>G67/G70</f>
        <v>8.3770491803278695</v>
      </c>
      <c r="H96" s="16">
        <f>H67/H70</f>
        <v>7.571548117154812</v>
      </c>
      <c r="I96" s="12"/>
      <c r="J96" s="12"/>
      <c r="K96" s="12"/>
      <c r="L96" s="12"/>
      <c r="M96" s="12"/>
      <c r="N96" s="12"/>
    </row>
    <row r="97" spans="1:14" outlineLevel="1">
      <c r="B97" t="s">
        <v>224</v>
      </c>
      <c r="E97" s="12"/>
      <c r="F97" s="15"/>
      <c r="G97" s="16">
        <f>(G69*(1-G26))/AVERAGE(F235:G235)</f>
        <v>6.5389784338247478E-2</v>
      </c>
      <c r="H97" s="16">
        <f>(H69*(1-H26))/AVERAGE(G235:H235)</f>
        <v>8.1323260527466579E-2</v>
      </c>
      <c r="I97" s="12"/>
      <c r="J97" s="12"/>
      <c r="K97" s="12"/>
      <c r="L97" s="12"/>
      <c r="M97" s="12"/>
      <c r="N97" s="12"/>
    </row>
    <row r="98" spans="1:14" outlineLevel="1">
      <c r="E98" s="12"/>
      <c r="F98" s="15"/>
      <c r="G98" s="15"/>
      <c r="H98" s="15"/>
      <c r="I98" s="12"/>
      <c r="J98" s="12"/>
      <c r="K98" s="12"/>
      <c r="L98" s="12"/>
      <c r="M98" s="12"/>
      <c r="N98" s="12"/>
    </row>
    <row r="99" spans="1:14">
      <c r="E99" s="12"/>
      <c r="F99" s="12"/>
      <c r="G99" s="12"/>
      <c r="H99" s="12"/>
      <c r="I99" s="12"/>
      <c r="J99" s="12"/>
      <c r="K99" s="12"/>
      <c r="L99" s="12"/>
      <c r="M99" s="12"/>
      <c r="N99" s="12"/>
    </row>
    <row r="100" spans="1:14" ht="24">
      <c r="A100" t="s">
        <v>229</v>
      </c>
      <c r="B100" s="9" t="s">
        <v>26</v>
      </c>
      <c r="C100" s="32"/>
      <c r="D100" s="33"/>
      <c r="E100" s="34"/>
      <c r="F100" s="35"/>
      <c r="G100" s="35"/>
      <c r="H100" s="35"/>
      <c r="I100" s="34"/>
      <c r="J100" s="34"/>
      <c r="K100" s="34"/>
      <c r="L100" s="34"/>
      <c r="M100" s="34"/>
      <c r="N100" s="34"/>
    </row>
    <row r="101" spans="1:14" outlineLevel="1">
      <c r="B101" s="1" t="s">
        <v>61</v>
      </c>
      <c r="C101" s="1"/>
      <c r="E101" s="12"/>
      <c r="F101" s="28">
        <v>44926</v>
      </c>
      <c r="G101" s="28">
        <f>EOMONTH(F101,12)</f>
        <v>45291</v>
      </c>
      <c r="H101" s="28">
        <f>EOMONTH(G101,12)</f>
        <v>45657</v>
      </c>
      <c r="I101" s="12"/>
      <c r="J101" s="12"/>
      <c r="K101" s="12"/>
      <c r="L101" s="12"/>
      <c r="M101" s="12"/>
      <c r="N101" s="12"/>
    </row>
    <row r="102" spans="1:14" outlineLevel="1">
      <c r="B102" t="s">
        <v>27</v>
      </c>
      <c r="E102" s="12"/>
      <c r="F102" s="19">
        <v>902</v>
      </c>
      <c r="G102" s="19">
        <v>1204</v>
      </c>
      <c r="H102" s="19">
        <v>1236</v>
      </c>
      <c r="I102" s="12"/>
      <c r="J102" s="12"/>
      <c r="K102" s="12"/>
      <c r="L102" s="12"/>
      <c r="M102" s="12"/>
      <c r="N102" s="12"/>
    </row>
    <row r="103" spans="1:14" outlineLevel="1">
      <c r="B103" t="s">
        <v>28</v>
      </c>
      <c r="E103" s="12"/>
      <c r="F103" s="19">
        <v>3585</v>
      </c>
      <c r="G103" s="19">
        <v>3582</v>
      </c>
      <c r="H103" s="19">
        <v>3725</v>
      </c>
      <c r="I103" s="12"/>
      <c r="J103" s="12"/>
      <c r="K103" s="12"/>
      <c r="L103" s="12"/>
      <c r="M103" s="12"/>
      <c r="N103" s="12"/>
    </row>
    <row r="104" spans="1:14" outlineLevel="1">
      <c r="B104" t="s">
        <v>29</v>
      </c>
      <c r="E104" s="12"/>
      <c r="F104" s="19">
        <v>431</v>
      </c>
      <c r="G104" s="19">
        <v>423</v>
      </c>
      <c r="H104" s="19">
        <v>404</v>
      </c>
      <c r="I104" s="12"/>
      <c r="J104" s="12"/>
      <c r="K104" s="12"/>
      <c r="L104" s="12"/>
      <c r="M104" s="12"/>
      <c r="N104" s="12"/>
    </row>
    <row r="105" spans="1:14" outlineLevel="1">
      <c r="B105" t="s">
        <v>30</v>
      </c>
      <c r="E105" s="12"/>
      <c r="F105" s="19">
        <v>21482</v>
      </c>
      <c r="G105" s="19">
        <v>27681</v>
      </c>
      <c r="H105" s="19">
        <v>15429</v>
      </c>
      <c r="I105" s="12"/>
      <c r="J105" s="12"/>
      <c r="K105" s="12"/>
      <c r="L105" s="12"/>
      <c r="M105" s="12"/>
      <c r="N105" s="12"/>
    </row>
    <row r="106" spans="1:14" outlineLevel="1">
      <c r="B106" t="s">
        <v>139</v>
      </c>
      <c r="E106" s="12"/>
      <c r="F106" s="19">
        <v>1144</v>
      </c>
      <c r="G106" s="19">
        <v>1921</v>
      </c>
      <c r="H106" s="19">
        <v>2683</v>
      </c>
      <c r="I106" s="12"/>
      <c r="J106" s="12"/>
      <c r="K106" s="12"/>
      <c r="L106" s="12"/>
      <c r="M106" s="12"/>
      <c r="N106" s="12"/>
    </row>
    <row r="107" spans="1:14" outlineLevel="1">
      <c r="B107" s="1" t="s">
        <v>31</v>
      </c>
      <c r="C107" s="1"/>
      <c r="D107" s="1"/>
      <c r="E107" s="21"/>
      <c r="F107" s="26">
        <f>SUM(F102:F106)</f>
        <v>27544</v>
      </c>
      <c r="G107" s="26">
        <f>SUM(G102:G106)</f>
        <v>34811</v>
      </c>
      <c r="H107" s="26">
        <f>SUM(H102:H106)</f>
        <v>23477</v>
      </c>
      <c r="I107" s="12"/>
      <c r="J107" s="12"/>
      <c r="K107" s="12"/>
      <c r="L107" s="12"/>
      <c r="M107" s="12"/>
      <c r="N107" s="12"/>
    </row>
    <row r="108" spans="1:14" outlineLevel="1">
      <c r="B108" s="1"/>
      <c r="C108" s="1"/>
      <c r="D108" s="1"/>
      <c r="E108" s="21"/>
      <c r="F108" s="26"/>
      <c r="G108" s="26"/>
      <c r="H108" s="26"/>
      <c r="I108" s="12"/>
      <c r="J108" s="12"/>
      <c r="K108" s="12"/>
      <c r="L108" s="12"/>
      <c r="M108" s="12"/>
      <c r="N108" s="12"/>
    </row>
    <row r="109" spans="1:14" outlineLevel="1">
      <c r="B109" s="1" t="s">
        <v>62</v>
      </c>
      <c r="C109" s="1"/>
      <c r="E109" s="12"/>
      <c r="F109" s="19"/>
      <c r="G109" s="19"/>
      <c r="H109" s="19"/>
      <c r="I109" s="12"/>
      <c r="J109" s="12"/>
      <c r="K109" s="12"/>
      <c r="L109" s="12"/>
      <c r="M109" s="12"/>
      <c r="N109" s="12"/>
    </row>
    <row r="110" spans="1:14" outlineLevel="1">
      <c r="B110" t="s">
        <v>32</v>
      </c>
      <c r="E110" s="12"/>
      <c r="F110" s="19">
        <v>1958</v>
      </c>
      <c r="G110" s="19">
        <v>2161</v>
      </c>
      <c r="H110" s="19">
        <v>2374</v>
      </c>
      <c r="I110" s="12"/>
      <c r="J110" s="12"/>
      <c r="K110" s="12"/>
      <c r="L110" s="12"/>
      <c r="M110" s="12"/>
      <c r="N110" s="12"/>
    </row>
    <row r="111" spans="1:14" outlineLevel="1">
      <c r="B111" t="s">
        <v>33</v>
      </c>
      <c r="E111" s="12"/>
      <c r="F111" s="19">
        <v>8424</v>
      </c>
      <c r="G111" s="19">
        <v>7075</v>
      </c>
      <c r="H111" s="19">
        <v>5868</v>
      </c>
      <c r="I111" s="12"/>
      <c r="J111" s="12"/>
      <c r="K111" s="12"/>
      <c r="L111" s="12"/>
      <c r="M111" s="12"/>
      <c r="N111" s="12"/>
    </row>
    <row r="112" spans="1:14" outlineLevel="1">
      <c r="B112" t="s">
        <v>34</v>
      </c>
      <c r="E112" s="12"/>
      <c r="F112" s="19">
        <v>3991</v>
      </c>
      <c r="G112" s="19">
        <v>4135</v>
      </c>
      <c r="H112" s="19">
        <v>4072</v>
      </c>
      <c r="I112" s="12"/>
      <c r="J112" s="12"/>
      <c r="K112" s="12"/>
      <c r="L112" s="12"/>
      <c r="M112" s="12"/>
      <c r="N112" s="12"/>
    </row>
    <row r="113" spans="2:14" outlineLevel="1">
      <c r="B113" t="s">
        <v>35</v>
      </c>
      <c r="E113" s="12"/>
      <c r="F113" s="19">
        <v>36811</v>
      </c>
      <c r="G113" s="19">
        <v>37205</v>
      </c>
      <c r="H113" s="19">
        <v>36584</v>
      </c>
      <c r="I113" s="12"/>
      <c r="J113" s="12"/>
      <c r="K113" s="12"/>
      <c r="L113" s="12"/>
      <c r="M113" s="12"/>
      <c r="N113" s="12"/>
    </row>
    <row r="114" spans="2:14" outlineLevel="1">
      <c r="B114" t="s">
        <v>36</v>
      </c>
      <c r="E114" s="12"/>
      <c r="F114" s="19">
        <v>905</v>
      </c>
      <c r="G114" s="19">
        <v>968</v>
      </c>
      <c r="H114" s="19">
        <v>996</v>
      </c>
      <c r="I114" s="12"/>
      <c r="J114" s="12"/>
      <c r="K114" s="12"/>
      <c r="L114" s="12"/>
      <c r="M114" s="12"/>
      <c r="N114" s="12"/>
    </row>
    <row r="115" spans="2:14" outlineLevel="1">
      <c r="B115" t="s">
        <v>37</v>
      </c>
      <c r="E115" s="12"/>
      <c r="F115" s="19">
        <v>2403</v>
      </c>
      <c r="G115" s="19">
        <v>2262</v>
      </c>
      <c r="H115" s="19">
        <v>1506</v>
      </c>
      <c r="I115" s="12"/>
      <c r="J115" s="12"/>
      <c r="K115" s="12"/>
      <c r="L115" s="12"/>
      <c r="M115" s="12"/>
      <c r="N115" s="12"/>
    </row>
    <row r="116" spans="2:14" outlineLevel="1">
      <c r="B116" t="s">
        <v>38</v>
      </c>
      <c r="E116" s="12"/>
      <c r="F116" s="19">
        <v>1833</v>
      </c>
      <c r="G116" s="19">
        <v>2273</v>
      </c>
      <c r="H116" s="19">
        <v>2299</v>
      </c>
      <c r="I116" s="12"/>
      <c r="J116" s="12"/>
      <c r="K116" s="12"/>
      <c r="L116" s="12"/>
      <c r="M116" s="12"/>
      <c r="N116" s="12"/>
    </row>
    <row r="117" spans="2:14" outlineLevel="1">
      <c r="B117" s="37" t="s">
        <v>39</v>
      </c>
      <c r="C117" s="37"/>
      <c r="D117" s="37"/>
      <c r="E117" s="41"/>
      <c r="F117" s="40">
        <f>F107+SUM(F110:F116)</f>
        <v>83869</v>
      </c>
      <c r="G117" s="40">
        <f>G107+SUM(G110:G116)</f>
        <v>90890</v>
      </c>
      <c r="H117" s="40">
        <f>H107+SUM(H110:H116)</f>
        <v>77176</v>
      </c>
      <c r="I117" s="12"/>
      <c r="J117" s="12"/>
      <c r="K117" s="12"/>
      <c r="L117" s="12"/>
      <c r="M117" s="12"/>
      <c r="N117" s="12"/>
    </row>
    <row r="118" spans="2:14" outlineLevel="1">
      <c r="E118" s="12"/>
      <c r="F118" s="20"/>
      <c r="G118" s="20"/>
      <c r="H118" s="20"/>
      <c r="I118" s="12"/>
      <c r="J118" s="12"/>
      <c r="K118" s="12"/>
      <c r="L118" s="12"/>
      <c r="M118" s="12"/>
      <c r="N118" s="12"/>
    </row>
    <row r="119" spans="2:14" outlineLevel="1">
      <c r="B119" t="s">
        <v>40</v>
      </c>
      <c r="E119" s="12"/>
      <c r="F119" s="19">
        <v>3883</v>
      </c>
      <c r="G119" s="19">
        <v>4355</v>
      </c>
      <c r="H119" s="19">
        <v>4799</v>
      </c>
      <c r="I119" s="12"/>
      <c r="J119" s="12"/>
      <c r="K119" s="12"/>
      <c r="L119" s="12"/>
      <c r="M119" s="12"/>
      <c r="N119" s="12"/>
    </row>
    <row r="120" spans="2:14" outlineLevel="1">
      <c r="B120" t="s">
        <v>41</v>
      </c>
      <c r="E120" s="12"/>
      <c r="F120" s="19">
        <v>468</v>
      </c>
      <c r="G120" s="19">
        <v>755</v>
      </c>
      <c r="H120" s="19">
        <v>1110</v>
      </c>
      <c r="I120" s="12"/>
      <c r="J120" s="12"/>
      <c r="K120" s="12"/>
      <c r="L120" s="12"/>
      <c r="M120" s="12"/>
      <c r="N120" s="12"/>
    </row>
    <row r="121" spans="2:14" outlineLevel="1">
      <c r="B121" t="s">
        <v>42</v>
      </c>
      <c r="E121" s="12"/>
      <c r="F121" s="19">
        <v>625</v>
      </c>
      <c r="G121" s="19">
        <v>761</v>
      </c>
      <c r="H121" s="19">
        <v>819</v>
      </c>
      <c r="I121" s="12"/>
      <c r="J121" s="12"/>
      <c r="K121" s="12"/>
      <c r="L121" s="12"/>
      <c r="M121" s="12"/>
      <c r="N121" s="12"/>
    </row>
    <row r="122" spans="2:14" outlineLevel="1">
      <c r="B122" t="s">
        <v>43</v>
      </c>
      <c r="E122" s="12"/>
      <c r="F122" s="19">
        <v>21482</v>
      </c>
      <c r="G122" s="19">
        <v>27681</v>
      </c>
      <c r="H122" s="19">
        <v>15429</v>
      </c>
      <c r="I122" s="12"/>
      <c r="J122" s="12"/>
      <c r="K122" s="12"/>
      <c r="L122" s="12"/>
      <c r="M122" s="12"/>
      <c r="N122" s="12"/>
    </row>
    <row r="123" spans="2:14" outlineLevel="1">
      <c r="B123" s="37" t="s">
        <v>44</v>
      </c>
      <c r="C123" s="37"/>
      <c r="D123" s="37"/>
      <c r="E123" s="41"/>
      <c r="F123" s="40">
        <f>SUM(F119:F122)</f>
        <v>26458</v>
      </c>
      <c r="G123" s="40">
        <f>SUM(G119:G122)</f>
        <v>33552</v>
      </c>
      <c r="H123" s="40">
        <f>SUM(H119:H122)</f>
        <v>22157</v>
      </c>
      <c r="I123" s="12"/>
      <c r="J123" s="12"/>
      <c r="K123" s="12"/>
      <c r="L123" s="12"/>
      <c r="M123" s="12"/>
      <c r="N123" s="12"/>
    </row>
    <row r="124" spans="2:14" outlineLevel="1">
      <c r="E124" s="12"/>
      <c r="F124" s="20"/>
      <c r="G124" s="20"/>
      <c r="H124" s="20"/>
      <c r="I124" s="12"/>
      <c r="J124" s="12"/>
      <c r="K124" s="12"/>
      <c r="L124" s="12"/>
      <c r="M124" s="12"/>
      <c r="N124" s="12"/>
    </row>
    <row r="125" spans="2:14" outlineLevel="1">
      <c r="B125" t="s">
        <v>45</v>
      </c>
      <c r="E125" s="12"/>
      <c r="F125" s="19">
        <v>20950</v>
      </c>
      <c r="G125" s="19">
        <v>22363</v>
      </c>
      <c r="H125" s="19">
        <v>23730</v>
      </c>
      <c r="I125" s="12"/>
      <c r="J125" s="12"/>
      <c r="K125" s="12"/>
      <c r="L125" s="12"/>
      <c r="M125" s="12"/>
      <c r="N125" s="12"/>
    </row>
    <row r="126" spans="2:14" outlineLevel="1">
      <c r="B126" t="s">
        <v>46</v>
      </c>
      <c r="E126" s="12"/>
      <c r="F126" s="19">
        <v>3602</v>
      </c>
      <c r="G126" s="19">
        <v>3078</v>
      </c>
      <c r="H126" s="19">
        <v>2477</v>
      </c>
      <c r="I126" s="12"/>
      <c r="J126" s="12"/>
      <c r="K126" s="12"/>
      <c r="L126" s="12"/>
      <c r="M126" s="12"/>
      <c r="N126" s="12"/>
    </row>
    <row r="127" spans="2:14" outlineLevel="1">
      <c r="B127" t="s">
        <v>47</v>
      </c>
      <c r="E127" s="12"/>
      <c r="F127" s="19">
        <v>235</v>
      </c>
      <c r="G127" s="19">
        <v>250</v>
      </c>
      <c r="H127" s="19">
        <v>263</v>
      </c>
      <c r="I127" s="12"/>
      <c r="J127" s="12"/>
      <c r="K127" s="12"/>
      <c r="L127" s="12"/>
      <c r="M127" s="12"/>
      <c r="N127" s="12"/>
    </row>
    <row r="128" spans="2:14" outlineLevel="1">
      <c r="B128" t="s">
        <v>48</v>
      </c>
      <c r="E128" s="12"/>
      <c r="F128" s="19">
        <v>936</v>
      </c>
      <c r="G128" s="19">
        <v>978</v>
      </c>
      <c r="H128" s="19">
        <v>863</v>
      </c>
      <c r="I128" s="12"/>
      <c r="J128" s="12"/>
      <c r="K128" s="12"/>
      <c r="L128" s="12"/>
      <c r="M128" s="12"/>
      <c r="N128" s="12"/>
    </row>
    <row r="129" spans="1:14" outlineLevel="1">
      <c r="B129" s="37" t="s">
        <v>49</v>
      </c>
      <c r="C129" s="37"/>
      <c r="D129" s="37"/>
      <c r="E129" s="41"/>
      <c r="F129" s="40">
        <f>F123+SUM(F125:F128)</f>
        <v>52181</v>
      </c>
      <c r="G129" s="40">
        <f>G123+SUM(G125:G128)</f>
        <v>60221</v>
      </c>
      <c r="H129" s="40">
        <f>H123+SUM(H125:H128)</f>
        <v>49490</v>
      </c>
      <c r="I129" s="12"/>
      <c r="J129" s="12"/>
      <c r="K129" s="12"/>
      <c r="L129" s="12"/>
      <c r="M129" s="12"/>
      <c r="N129" s="12"/>
    </row>
    <row r="130" spans="1:14" outlineLevel="1">
      <c r="E130" s="12"/>
      <c r="F130" s="20"/>
      <c r="G130" s="20"/>
      <c r="H130" s="20"/>
      <c r="I130" s="12"/>
      <c r="J130" s="12"/>
      <c r="K130" s="12"/>
      <c r="L130" s="12"/>
      <c r="M130" s="12"/>
      <c r="N130" s="12"/>
    </row>
    <row r="131" spans="1:14" outlineLevel="1">
      <c r="B131" t="s">
        <v>50</v>
      </c>
      <c r="E131" s="12"/>
      <c r="F131" s="19">
        <v>161</v>
      </c>
      <c r="G131" s="19">
        <v>161</v>
      </c>
      <c r="H131" s="20" t="s">
        <v>18</v>
      </c>
      <c r="I131" s="12"/>
      <c r="J131" s="12"/>
      <c r="K131" s="12"/>
      <c r="L131" s="12"/>
      <c r="M131" s="12"/>
      <c r="N131" s="12"/>
    </row>
    <row r="132" spans="1:14" outlineLevel="1">
      <c r="B132" t="s">
        <v>51</v>
      </c>
      <c r="E132" s="12"/>
      <c r="F132" s="19"/>
      <c r="G132" s="19"/>
      <c r="H132" s="19" t="s">
        <v>18</v>
      </c>
      <c r="I132" s="12"/>
      <c r="J132" s="12"/>
      <c r="K132" s="12"/>
      <c r="L132" s="12"/>
      <c r="M132" s="12"/>
      <c r="N132" s="12"/>
    </row>
    <row r="133" spans="1:14" outlineLevel="1">
      <c r="B133" t="s">
        <v>52</v>
      </c>
      <c r="E133" s="12"/>
      <c r="F133" s="19">
        <v>8</v>
      </c>
      <c r="G133" s="19">
        <v>8</v>
      </c>
      <c r="H133" s="19">
        <v>8</v>
      </c>
      <c r="I133" s="12"/>
      <c r="J133" s="12"/>
      <c r="K133" s="12"/>
      <c r="L133" s="12"/>
      <c r="M133" s="12"/>
      <c r="N133" s="12"/>
    </row>
    <row r="134" spans="1:14" outlineLevel="1">
      <c r="B134" t="s">
        <v>53</v>
      </c>
      <c r="E134" s="12"/>
      <c r="F134" s="19">
        <v>23011</v>
      </c>
      <c r="G134" s="19">
        <v>23103</v>
      </c>
      <c r="H134" s="19">
        <v>23080</v>
      </c>
      <c r="I134" s="12"/>
      <c r="J134" s="12"/>
      <c r="K134" s="12"/>
      <c r="L134" s="12"/>
      <c r="M134" s="12"/>
      <c r="N134" s="12"/>
    </row>
    <row r="135" spans="1:14" outlineLevel="1">
      <c r="B135" t="s">
        <v>54</v>
      </c>
      <c r="E135" s="12"/>
      <c r="F135" s="19">
        <v>-1189</v>
      </c>
      <c r="G135" s="19">
        <v>-783</v>
      </c>
      <c r="H135" s="19">
        <v>-1413</v>
      </c>
      <c r="I135" s="12"/>
      <c r="J135" s="12"/>
      <c r="K135" s="12"/>
      <c r="L135" s="12"/>
      <c r="M135" s="12"/>
      <c r="N135" s="12"/>
    </row>
    <row r="136" spans="1:14" outlineLevel="1">
      <c r="B136" t="s">
        <v>55</v>
      </c>
      <c r="E136" s="12"/>
      <c r="F136" s="19">
        <v>17376</v>
      </c>
      <c r="G136" s="19">
        <v>20444</v>
      </c>
      <c r="H136" s="19">
        <v>23575</v>
      </c>
      <c r="I136" s="12"/>
      <c r="J136" s="12"/>
      <c r="K136" s="12"/>
      <c r="L136" s="12"/>
      <c r="M136" s="12"/>
      <c r="N136" s="12"/>
    </row>
    <row r="137" spans="1:14" outlineLevel="1">
      <c r="B137" t="s">
        <v>56</v>
      </c>
      <c r="E137" s="12"/>
      <c r="F137" s="19">
        <v>-8378</v>
      </c>
      <c r="G137" s="19">
        <v>-12915</v>
      </c>
      <c r="H137" s="19">
        <v>-18182</v>
      </c>
      <c r="I137" s="12"/>
      <c r="J137" s="12"/>
      <c r="K137" s="12"/>
      <c r="L137" s="12"/>
      <c r="M137" s="12"/>
      <c r="N137" s="12"/>
    </row>
    <row r="138" spans="1:14" outlineLevel="1">
      <c r="B138" s="37" t="s">
        <v>57</v>
      </c>
      <c r="C138" s="37"/>
      <c r="D138" s="37"/>
      <c r="E138" s="41"/>
      <c r="F138" s="40">
        <f>SUM(F131:F137)</f>
        <v>30989</v>
      </c>
      <c r="G138" s="40">
        <f>SUM(G131:G137)</f>
        <v>30018</v>
      </c>
      <c r="H138" s="40">
        <f>SUM(H131:H137)</f>
        <v>27068</v>
      </c>
      <c r="I138" s="12"/>
      <c r="J138" s="12"/>
      <c r="K138" s="12"/>
      <c r="L138" s="12"/>
      <c r="M138" s="12"/>
      <c r="N138" s="12"/>
    </row>
    <row r="139" spans="1:14" outlineLevel="1">
      <c r="E139" s="12"/>
      <c r="F139" s="20"/>
      <c r="G139" s="20"/>
      <c r="H139" s="20"/>
      <c r="I139" s="12"/>
      <c r="J139" s="12"/>
      <c r="K139" s="12"/>
      <c r="L139" s="12"/>
      <c r="M139" s="12"/>
      <c r="N139" s="12"/>
    </row>
    <row r="140" spans="1:14" outlineLevel="1">
      <c r="E140" s="12"/>
      <c r="F140" s="20"/>
      <c r="G140" s="20"/>
      <c r="H140" s="20"/>
      <c r="I140" s="12"/>
      <c r="J140" s="12"/>
      <c r="K140" s="12"/>
      <c r="L140" s="12"/>
      <c r="M140" s="12"/>
      <c r="N140" s="12"/>
    </row>
    <row r="141" spans="1:14" outlineLevel="1">
      <c r="B141" t="s">
        <v>58</v>
      </c>
      <c r="E141" s="12"/>
      <c r="F141" s="20">
        <v>699</v>
      </c>
      <c r="G141" s="20">
        <v>651</v>
      </c>
      <c r="H141" s="20">
        <v>618</v>
      </c>
      <c r="I141" s="12"/>
      <c r="J141" s="12"/>
      <c r="K141" s="12"/>
      <c r="L141" s="12"/>
      <c r="M141" s="12"/>
      <c r="N141" s="12"/>
    </row>
    <row r="142" spans="1:14" outlineLevel="1">
      <c r="A142" s="1"/>
      <c r="B142" s="132" t="s">
        <v>59</v>
      </c>
      <c r="C142" s="132"/>
      <c r="D142" s="132"/>
      <c r="E142" s="138"/>
      <c r="F142" s="139">
        <f>F138+F141</f>
        <v>31688</v>
      </c>
      <c r="G142" s="139">
        <f>G138+G141</f>
        <v>30669</v>
      </c>
      <c r="H142" s="139">
        <v>27686</v>
      </c>
      <c r="I142" s="12"/>
      <c r="J142" s="12"/>
      <c r="K142" s="12"/>
      <c r="L142" s="12"/>
      <c r="M142" s="12"/>
      <c r="N142" s="12"/>
    </row>
    <row r="143" spans="1:14" outlineLevel="1">
      <c r="A143" s="1"/>
      <c r="B143" s="140" t="s">
        <v>60</v>
      </c>
      <c r="C143" s="140"/>
      <c r="D143" s="140"/>
      <c r="E143" s="141"/>
      <c r="F143" s="142">
        <f>F129+F142</f>
        <v>83869</v>
      </c>
      <c r="G143" s="142">
        <f>G129+G142</f>
        <v>90890</v>
      </c>
      <c r="H143" s="142">
        <f>H129+H142</f>
        <v>77176</v>
      </c>
      <c r="I143" s="12"/>
      <c r="J143" s="12"/>
      <c r="K143" s="12"/>
      <c r="L143" s="12"/>
      <c r="M143" s="12"/>
      <c r="N143" s="12"/>
    </row>
    <row r="144" spans="1:14" outlineLevel="1">
      <c r="A144" s="1"/>
      <c r="B144" s="1"/>
      <c r="C144" s="1"/>
      <c r="D144" s="1"/>
      <c r="E144" s="21"/>
      <c r="F144" s="21"/>
      <c r="G144" s="22"/>
      <c r="H144" s="22"/>
      <c r="I144" s="12"/>
      <c r="J144" s="12"/>
      <c r="K144" s="12"/>
      <c r="L144" s="12"/>
      <c r="M144" s="12"/>
      <c r="N144" s="12"/>
    </row>
    <row r="145" spans="1:14" outlineLevel="1">
      <c r="A145" s="1"/>
      <c r="B145" s="3" t="s">
        <v>81</v>
      </c>
      <c r="C145" s="3"/>
      <c r="D145" s="1"/>
      <c r="E145" s="21"/>
      <c r="F145" s="22">
        <f>F143-F117</f>
        <v>0</v>
      </c>
      <c r="G145" s="22">
        <f>G143-G117</f>
        <v>0</v>
      </c>
      <c r="H145" s="22">
        <f>H117-H143</f>
        <v>0</v>
      </c>
      <c r="I145" s="12"/>
      <c r="J145" s="12"/>
      <c r="K145" s="12"/>
      <c r="L145" s="12"/>
      <c r="M145" s="12"/>
      <c r="N145" s="12"/>
    </row>
    <row r="146" spans="1:14">
      <c r="A146" s="1"/>
      <c r="B146" s="1"/>
      <c r="C146" s="1"/>
      <c r="D146" s="1"/>
      <c r="E146" s="21"/>
      <c r="F146" s="21"/>
      <c r="G146" s="22"/>
      <c r="H146" s="22"/>
      <c r="I146" s="12"/>
      <c r="J146" s="12"/>
      <c r="K146" s="12"/>
      <c r="L146" s="12"/>
      <c r="M146" s="12"/>
      <c r="N146" s="12"/>
    </row>
    <row r="147" spans="1:14" ht="24">
      <c r="A147" t="s">
        <v>229</v>
      </c>
      <c r="B147" s="9" t="s">
        <v>67</v>
      </c>
      <c r="C147" s="32"/>
      <c r="D147" s="33"/>
      <c r="E147" s="34"/>
      <c r="F147" s="35"/>
      <c r="G147" s="35"/>
      <c r="H147" s="35"/>
      <c r="I147" s="34"/>
      <c r="J147" s="34"/>
      <c r="K147" s="34"/>
      <c r="L147" s="34"/>
      <c r="M147" s="34"/>
      <c r="N147" s="34"/>
    </row>
    <row r="148" spans="1:14" outlineLevel="1">
      <c r="E148" s="12"/>
      <c r="F148" s="18">
        <v>44926</v>
      </c>
      <c r="G148" s="18">
        <f>EOMONTH(F148,12)</f>
        <v>45291</v>
      </c>
      <c r="H148" s="18">
        <f>EOMONTH(G148,12)</f>
        <v>45657</v>
      </c>
      <c r="I148" s="12"/>
      <c r="J148" s="12"/>
      <c r="K148" s="12"/>
      <c r="L148" s="12"/>
      <c r="M148" s="12"/>
      <c r="N148" s="12"/>
    </row>
    <row r="149" spans="1:14" outlineLevel="1">
      <c r="B149" s="1" t="s">
        <v>82</v>
      </c>
      <c r="C149" s="1"/>
      <c r="E149" s="12"/>
      <c r="F149" s="27"/>
      <c r="G149" s="27"/>
      <c r="H149" s="27"/>
      <c r="I149" s="12"/>
      <c r="J149" s="12"/>
      <c r="K149" s="12"/>
      <c r="L149" s="12"/>
      <c r="M149" s="12"/>
      <c r="N149" s="12"/>
    </row>
    <row r="150" spans="1:14" outlineLevel="1">
      <c r="B150" t="s">
        <v>65</v>
      </c>
      <c r="E150" s="12"/>
      <c r="F150" s="20">
        <f>F76</f>
        <v>3021</v>
      </c>
      <c r="G150" s="20">
        <f>G76</f>
        <v>3129</v>
      </c>
      <c r="H150" s="20">
        <f>H76</f>
        <v>3211</v>
      </c>
      <c r="I150" s="12"/>
      <c r="J150" s="12"/>
      <c r="K150" s="12"/>
      <c r="L150" s="12"/>
      <c r="M150" s="12"/>
      <c r="N150" s="12"/>
    </row>
    <row r="151" spans="1:14" outlineLevel="1">
      <c r="E151" s="12"/>
      <c r="F151" s="12"/>
      <c r="G151" s="12"/>
      <c r="H151" s="20"/>
      <c r="I151" s="12"/>
      <c r="J151" s="12"/>
      <c r="K151" s="12"/>
      <c r="L151" s="12"/>
      <c r="M151" s="12"/>
      <c r="N151" s="12"/>
    </row>
    <row r="152" spans="1:14" outlineLevel="1">
      <c r="B152" t="s">
        <v>66</v>
      </c>
      <c r="E152" s="12"/>
      <c r="F152" s="12">
        <v>1320</v>
      </c>
      <c r="G152" s="12">
        <v>1479</v>
      </c>
      <c r="H152" s="19">
        <v>1672</v>
      </c>
      <c r="I152" s="12"/>
      <c r="J152" s="20"/>
      <c r="K152" s="12"/>
      <c r="L152" s="12"/>
      <c r="M152" s="12"/>
      <c r="N152" s="12"/>
    </row>
    <row r="153" spans="1:14" outlineLevel="1">
      <c r="B153" t="s">
        <v>68</v>
      </c>
      <c r="E153" s="12"/>
      <c r="F153" s="12">
        <v>1849</v>
      </c>
      <c r="G153" s="12">
        <v>1642</v>
      </c>
      <c r="H153" s="19">
        <v>1423</v>
      </c>
      <c r="I153" s="12"/>
      <c r="J153" s="12"/>
      <c r="K153" s="12"/>
      <c r="L153" s="12"/>
      <c r="M153" s="12"/>
      <c r="N153" s="12"/>
    </row>
    <row r="154" spans="1:14" outlineLevel="1">
      <c r="B154" t="s">
        <v>69</v>
      </c>
      <c r="E154" s="12"/>
      <c r="F154" s="12">
        <v>43</v>
      </c>
      <c r="G154" s="12">
        <v>41</v>
      </c>
      <c r="H154" s="19">
        <v>43</v>
      </c>
      <c r="I154" s="12"/>
      <c r="J154" s="12"/>
      <c r="K154" s="12"/>
      <c r="L154" s="12"/>
      <c r="M154" s="12"/>
      <c r="N154" s="12"/>
    </row>
    <row r="155" spans="1:14" outlineLevel="1">
      <c r="B155" t="s">
        <v>70</v>
      </c>
      <c r="E155" s="12"/>
      <c r="F155" s="12">
        <v>323</v>
      </c>
      <c r="G155" s="12">
        <v>342</v>
      </c>
      <c r="H155" s="19">
        <v>367</v>
      </c>
      <c r="I155" s="12"/>
      <c r="J155" s="12"/>
      <c r="K155" s="12"/>
      <c r="L155" s="12"/>
      <c r="M155" s="12"/>
      <c r="N155" s="12"/>
    </row>
    <row r="156" spans="1:14" outlineLevel="1">
      <c r="B156" t="s">
        <v>46</v>
      </c>
      <c r="E156" s="12"/>
      <c r="F156" s="12">
        <v>-558</v>
      </c>
      <c r="G156" s="12">
        <v>-511</v>
      </c>
      <c r="H156" s="19">
        <v>-662</v>
      </c>
      <c r="I156" s="12"/>
      <c r="J156" s="12"/>
      <c r="K156" s="12"/>
      <c r="L156" s="12"/>
      <c r="M156" s="12"/>
      <c r="N156" s="12"/>
    </row>
    <row r="157" spans="1:14" outlineLevel="1">
      <c r="B157" t="s">
        <v>71</v>
      </c>
      <c r="E157" s="12"/>
      <c r="F157" s="12">
        <v>-54</v>
      </c>
      <c r="G157" s="12">
        <v>-167</v>
      </c>
      <c r="H157" s="19" t="s">
        <v>18</v>
      </c>
      <c r="I157" s="12"/>
      <c r="J157" s="12"/>
      <c r="K157" s="12"/>
      <c r="L157" s="12"/>
      <c r="M157" s="12"/>
      <c r="N157" s="12"/>
    </row>
    <row r="158" spans="1:14" outlineLevel="1">
      <c r="B158" t="s">
        <v>72</v>
      </c>
      <c r="E158" s="12"/>
      <c r="F158" s="12">
        <v>-220</v>
      </c>
      <c r="G158" s="12">
        <v>15</v>
      </c>
      <c r="H158" s="19">
        <v>-685</v>
      </c>
      <c r="I158" s="12"/>
      <c r="J158" s="12"/>
      <c r="K158" s="12"/>
      <c r="L158" s="12"/>
      <c r="M158" s="12"/>
      <c r="N158" s="12"/>
    </row>
    <row r="159" spans="1:14" outlineLevel="1">
      <c r="B159" t="s">
        <v>73</v>
      </c>
      <c r="E159" s="12"/>
      <c r="F159" s="12">
        <v>73</v>
      </c>
      <c r="G159" s="12">
        <v>55</v>
      </c>
      <c r="H159" s="19">
        <v>39</v>
      </c>
      <c r="I159" s="12"/>
      <c r="J159" s="12"/>
      <c r="K159" s="12"/>
      <c r="L159" s="12"/>
      <c r="M159" s="12"/>
      <c r="N159" s="12"/>
    </row>
    <row r="160" spans="1:14" outlineLevel="1">
      <c r="B160" t="s">
        <v>74</v>
      </c>
      <c r="E160" s="12"/>
      <c r="F160" s="12" t="s">
        <v>18</v>
      </c>
      <c r="G160" s="12" t="s">
        <v>18</v>
      </c>
      <c r="H160" s="19">
        <v>147</v>
      </c>
      <c r="I160" s="12"/>
      <c r="J160" s="12"/>
      <c r="K160" s="12"/>
      <c r="L160" s="12"/>
      <c r="M160" s="12"/>
      <c r="N160" s="12"/>
    </row>
    <row r="161" spans="2:14" outlineLevel="1">
      <c r="B161" t="s">
        <v>75</v>
      </c>
      <c r="E161" s="12"/>
      <c r="F161" s="12" t="s">
        <v>18</v>
      </c>
      <c r="G161" s="12">
        <v>76</v>
      </c>
      <c r="H161" s="19">
        <v>92</v>
      </c>
      <c r="I161" s="12"/>
      <c r="J161" s="12"/>
      <c r="K161" s="12"/>
      <c r="L161" s="12"/>
      <c r="M161" s="12"/>
      <c r="N161" s="12"/>
    </row>
    <row r="162" spans="2:14" outlineLevel="1">
      <c r="B162" t="s">
        <v>76</v>
      </c>
      <c r="E162" s="12"/>
      <c r="F162" s="12">
        <v>4</v>
      </c>
      <c r="G162" s="12">
        <v>-27</v>
      </c>
      <c r="H162" s="19">
        <v>-17</v>
      </c>
      <c r="I162" s="12"/>
      <c r="J162" s="12"/>
      <c r="K162" s="12"/>
      <c r="L162" s="12"/>
      <c r="M162" s="12"/>
      <c r="N162" s="12"/>
    </row>
    <row r="163" spans="2:14" outlineLevel="1">
      <c r="E163" s="12"/>
      <c r="F163" s="12"/>
      <c r="G163" s="12"/>
      <c r="H163" s="19"/>
      <c r="I163" s="12"/>
      <c r="J163" s="12"/>
      <c r="K163" s="12"/>
      <c r="L163" s="12"/>
      <c r="M163" s="12"/>
      <c r="N163" s="12"/>
    </row>
    <row r="164" spans="2:14" outlineLevel="1">
      <c r="E164" s="12"/>
      <c r="F164" s="12"/>
      <c r="G164" s="12"/>
      <c r="H164" s="19"/>
      <c r="I164" s="12"/>
      <c r="J164" s="12"/>
      <c r="K164" s="12"/>
      <c r="L164" s="12"/>
      <c r="M164" s="12"/>
      <c r="N164" s="12"/>
    </row>
    <row r="165" spans="2:14" outlineLevel="1">
      <c r="B165" s="69" t="s">
        <v>214</v>
      </c>
      <c r="E165" s="12"/>
      <c r="F165" s="20">
        <f>F150+SUM(F152:F162)+F75+F73+F71+F70</f>
        <v>7399</v>
      </c>
      <c r="G165" s="20">
        <f>G150+SUM(G152:G162)+G75+G73+G71+G70</f>
        <v>7929</v>
      </c>
      <c r="H165" s="20">
        <f>H150+SUM(H152:H162)+H75+H73+H71+H70</f>
        <v>6959</v>
      </c>
      <c r="I165" s="12"/>
      <c r="J165" s="12"/>
      <c r="K165" s="12"/>
      <c r="L165" s="12"/>
      <c r="M165" s="12"/>
      <c r="N165" s="12"/>
    </row>
    <row r="166" spans="2:14" outlineLevel="1">
      <c r="E166" s="12"/>
      <c r="F166" s="12"/>
      <c r="G166" s="12"/>
      <c r="H166" s="12"/>
      <c r="I166" s="12"/>
      <c r="J166" s="12"/>
      <c r="K166" s="12"/>
      <c r="L166" s="12"/>
      <c r="M166" s="12"/>
      <c r="N166" s="12"/>
    </row>
    <row r="167" spans="2:14" outlineLevel="1">
      <c r="B167" s="3" t="s">
        <v>137</v>
      </c>
      <c r="C167" s="3"/>
      <c r="E167" s="12"/>
      <c r="F167" s="12"/>
      <c r="G167" s="12"/>
      <c r="H167" s="12"/>
      <c r="I167" s="12"/>
      <c r="J167" s="12"/>
      <c r="K167" s="12"/>
      <c r="L167" s="12"/>
      <c r="M167" s="12"/>
      <c r="N167" s="12"/>
    </row>
    <row r="168" spans="2:14" outlineLevel="1">
      <c r="B168" t="s">
        <v>80</v>
      </c>
      <c r="E168" s="12"/>
      <c r="F168" s="20">
        <f t="shared" ref="F168:H169" si="26">E103-F103</f>
        <v>-3585</v>
      </c>
      <c r="G168" s="20">
        <f t="shared" si="26"/>
        <v>3</v>
      </c>
      <c r="H168" s="20">
        <f t="shared" si="26"/>
        <v>-143</v>
      </c>
      <c r="I168" s="12"/>
      <c r="J168" s="12"/>
      <c r="K168" s="12"/>
      <c r="L168" s="12"/>
      <c r="M168" s="12"/>
      <c r="N168" s="12"/>
    </row>
    <row r="169" spans="2:14" outlineLevel="1">
      <c r="B169" t="s">
        <v>29</v>
      </c>
      <c r="E169" s="12"/>
      <c r="F169" s="20">
        <f t="shared" si="26"/>
        <v>-431</v>
      </c>
      <c r="G169" s="20">
        <f t="shared" si="26"/>
        <v>8</v>
      </c>
      <c r="H169" s="20">
        <f t="shared" si="26"/>
        <v>19</v>
      </c>
      <c r="I169" s="12"/>
      <c r="J169" s="12"/>
      <c r="K169" s="12"/>
      <c r="L169" s="12"/>
      <c r="M169" s="12"/>
      <c r="N169" s="12"/>
    </row>
    <row r="170" spans="2:14" outlineLevel="1">
      <c r="B170" t="s">
        <v>77</v>
      </c>
      <c r="E170" s="12"/>
      <c r="F170" s="20">
        <f>E114-F114</f>
        <v>-905</v>
      </c>
      <c r="G170" s="20">
        <f>F114-G114</f>
        <v>-63</v>
      </c>
      <c r="H170" s="20">
        <f>G114-H114</f>
        <v>-28</v>
      </c>
      <c r="I170" s="12"/>
      <c r="J170" s="12"/>
      <c r="K170" s="12"/>
      <c r="L170" s="12"/>
      <c r="M170" s="12"/>
      <c r="N170" s="12"/>
    </row>
    <row r="171" spans="2:14" outlineLevel="1">
      <c r="B171" t="s">
        <v>78</v>
      </c>
      <c r="E171" s="12"/>
      <c r="F171" s="20">
        <f>F119-E119</f>
        <v>3883</v>
      </c>
      <c r="G171" s="20">
        <f>G119-F119</f>
        <v>472</v>
      </c>
      <c r="H171" s="20">
        <f>H119-G119</f>
        <v>444</v>
      </c>
      <c r="I171" s="12"/>
      <c r="J171" s="12"/>
      <c r="K171" s="12"/>
      <c r="L171" s="12"/>
      <c r="M171" s="12"/>
      <c r="N171" s="12"/>
    </row>
    <row r="172" spans="2:14" outlineLevel="1">
      <c r="B172" t="s">
        <v>42</v>
      </c>
      <c r="E172" s="12"/>
      <c r="F172" s="20">
        <f>F121-E121</f>
        <v>625</v>
      </c>
      <c r="G172" s="20">
        <f>G121-F121</f>
        <v>136</v>
      </c>
      <c r="H172" s="20">
        <f>H121-G121</f>
        <v>58</v>
      </c>
      <c r="I172" s="12"/>
      <c r="J172" s="12"/>
      <c r="K172" s="12"/>
      <c r="L172" s="12"/>
      <c r="M172" s="12"/>
      <c r="N172" s="12"/>
    </row>
    <row r="173" spans="2:14" outlineLevel="1">
      <c r="B173" s="37" t="s">
        <v>79</v>
      </c>
      <c r="C173" s="37"/>
      <c r="D173" s="38"/>
      <c r="E173" s="39"/>
      <c r="F173" s="40">
        <f>SUM(F150:F162,F176:F180)</f>
        <v>5057</v>
      </c>
      <c r="G173" s="40">
        <f>SUM(G150:G162,G176:G180)</f>
        <v>5162</v>
      </c>
      <c r="H173" s="40">
        <f>SUM(H150:H172)</f>
        <v>12939</v>
      </c>
      <c r="I173" s="12"/>
      <c r="J173" s="12"/>
      <c r="K173" s="12"/>
      <c r="L173" s="12"/>
      <c r="M173" s="12"/>
      <c r="N173" s="12"/>
    </row>
    <row r="174" spans="2:14" outlineLevel="1">
      <c r="E174" s="12"/>
      <c r="F174" s="12"/>
      <c r="G174" s="12"/>
      <c r="H174" s="12"/>
      <c r="I174" s="12"/>
      <c r="J174" s="12"/>
      <c r="K174" s="12"/>
      <c r="L174" s="12"/>
      <c r="M174" s="12"/>
      <c r="N174" s="12"/>
    </row>
    <row r="175" spans="2:14" outlineLevel="1">
      <c r="B175" s="3" t="s">
        <v>138</v>
      </c>
      <c r="C175" s="3"/>
      <c r="E175" s="12"/>
      <c r="F175" s="12"/>
      <c r="G175" s="12"/>
      <c r="H175" s="12"/>
      <c r="I175" s="12"/>
      <c r="J175" s="12"/>
      <c r="K175" s="12"/>
      <c r="L175" s="12"/>
      <c r="M175" s="12"/>
      <c r="N175" s="12"/>
    </row>
    <row r="176" spans="2:14" outlineLevel="1">
      <c r="B176" t="s">
        <v>80</v>
      </c>
      <c r="E176" s="12"/>
      <c r="F176" s="20">
        <v>-770</v>
      </c>
      <c r="G176" s="20">
        <v>23</v>
      </c>
      <c r="H176" s="20">
        <v>-169</v>
      </c>
      <c r="I176" s="12"/>
      <c r="J176" s="20"/>
      <c r="K176" s="12"/>
      <c r="L176" s="12"/>
      <c r="M176" s="12"/>
      <c r="N176" s="12"/>
    </row>
    <row r="177" spans="2:14" outlineLevel="1">
      <c r="B177" t="s">
        <v>29</v>
      </c>
      <c r="E177" s="12"/>
      <c r="F177" s="20">
        <v>-253</v>
      </c>
      <c r="G177" s="20">
        <v>-790</v>
      </c>
      <c r="H177" s="20">
        <v>-398</v>
      </c>
      <c r="I177" s="12"/>
      <c r="J177" s="20"/>
      <c r="K177" s="12"/>
      <c r="L177" s="12"/>
      <c r="M177" s="12"/>
      <c r="N177" s="12"/>
    </row>
    <row r="178" spans="2:14" outlineLevel="1">
      <c r="B178" t="s">
        <v>77</v>
      </c>
      <c r="E178" s="12"/>
      <c r="F178" s="20">
        <v>-290</v>
      </c>
      <c r="G178" s="20">
        <v>-246</v>
      </c>
      <c r="H178" s="20">
        <v>-267</v>
      </c>
      <c r="I178" s="12"/>
      <c r="J178" s="20"/>
      <c r="K178" s="12"/>
      <c r="L178" s="12"/>
      <c r="M178" s="12"/>
      <c r="N178" s="12"/>
    </row>
    <row r="179" spans="2:14" outlineLevel="1">
      <c r="B179" t="s">
        <v>78</v>
      </c>
      <c r="E179" s="12"/>
      <c r="F179" s="20">
        <v>511</v>
      </c>
      <c r="G179" s="20">
        <v>-54</v>
      </c>
      <c r="H179" s="20">
        <v>426</v>
      </c>
      <c r="I179" s="12"/>
      <c r="J179" s="20"/>
      <c r="K179" s="12"/>
      <c r="L179" s="12"/>
      <c r="M179" s="12"/>
      <c r="N179" s="12"/>
    </row>
    <row r="180" spans="2:14" outlineLevel="1">
      <c r="B180" t="s">
        <v>42</v>
      </c>
      <c r="E180" s="12"/>
      <c r="F180" s="20">
        <v>58</v>
      </c>
      <c r="G180" s="20">
        <v>155</v>
      </c>
      <c r="H180" s="20">
        <v>70</v>
      </c>
      <c r="I180" s="12"/>
      <c r="J180" s="20"/>
      <c r="K180" s="12"/>
      <c r="L180" s="12"/>
      <c r="M180" s="12"/>
      <c r="N180" s="12"/>
    </row>
    <row r="181" spans="2:14" outlineLevel="1">
      <c r="B181" s="1"/>
      <c r="C181" s="1"/>
      <c r="E181" s="12"/>
      <c r="F181" s="12"/>
      <c r="G181" s="12"/>
      <c r="H181" s="12"/>
      <c r="I181" s="12"/>
      <c r="J181" s="12"/>
      <c r="K181" s="12"/>
      <c r="L181" s="12"/>
      <c r="M181" s="12"/>
      <c r="N181" s="12"/>
    </row>
    <row r="182" spans="2:14" outlineLevel="1">
      <c r="B182" s="1" t="s">
        <v>84</v>
      </c>
      <c r="C182" s="1"/>
      <c r="E182" s="12"/>
      <c r="F182" s="12"/>
      <c r="G182" s="12"/>
      <c r="H182" s="12"/>
      <c r="I182" s="12"/>
      <c r="J182" s="12"/>
      <c r="K182" s="12"/>
      <c r="L182" s="12"/>
      <c r="M182" s="12"/>
      <c r="N182" s="12"/>
    </row>
    <row r="183" spans="2:14" outlineLevel="1">
      <c r="B183" t="s">
        <v>85</v>
      </c>
      <c r="E183" s="12"/>
      <c r="F183" s="12">
        <v>-1479</v>
      </c>
      <c r="G183" s="12">
        <v>-1388</v>
      </c>
      <c r="H183" s="12">
        <v>-1569</v>
      </c>
      <c r="I183" s="12"/>
      <c r="J183" s="12"/>
      <c r="K183" s="12"/>
      <c r="L183" s="12"/>
      <c r="M183" s="12"/>
      <c r="N183" s="12"/>
    </row>
    <row r="184" spans="2:14" outlineLevel="1">
      <c r="B184" t="s">
        <v>86</v>
      </c>
      <c r="E184" s="12"/>
      <c r="F184" s="12">
        <v>246</v>
      </c>
      <c r="G184" s="12">
        <v>234</v>
      </c>
      <c r="H184" s="12" t="s">
        <v>18</v>
      </c>
      <c r="I184" s="12"/>
      <c r="J184" s="12"/>
      <c r="K184" s="12"/>
      <c r="L184" s="12"/>
      <c r="M184" s="12"/>
      <c r="N184" s="12"/>
    </row>
    <row r="185" spans="2:14" outlineLevel="1">
      <c r="B185" t="s">
        <v>87</v>
      </c>
      <c r="E185" s="12"/>
      <c r="F185" s="12" t="s">
        <v>18</v>
      </c>
      <c r="G185" s="12" t="s">
        <v>18</v>
      </c>
      <c r="H185" s="12">
        <v>-801</v>
      </c>
      <c r="I185" s="12"/>
      <c r="J185" s="12"/>
      <c r="K185" s="12"/>
      <c r="L185" s="12"/>
      <c r="M185" s="12"/>
      <c r="N185" s="12"/>
    </row>
    <row r="186" spans="2:14" outlineLevel="1">
      <c r="B186" t="s">
        <v>88</v>
      </c>
      <c r="E186" s="12"/>
      <c r="F186" s="12">
        <v>-988</v>
      </c>
      <c r="G186" s="12">
        <v>-13</v>
      </c>
      <c r="H186" s="12" t="s">
        <v>18</v>
      </c>
      <c r="I186" s="12"/>
      <c r="J186" s="12"/>
      <c r="K186" s="12"/>
      <c r="L186" s="12"/>
      <c r="M186" s="12"/>
      <c r="N186" s="12"/>
    </row>
    <row r="187" spans="2:14" outlineLevel="1">
      <c r="B187" t="s">
        <v>73</v>
      </c>
      <c r="E187" s="12"/>
      <c r="F187" s="12">
        <v>138</v>
      </c>
      <c r="G187" s="12">
        <v>136</v>
      </c>
      <c r="H187" s="12">
        <v>60</v>
      </c>
      <c r="I187" s="12"/>
      <c r="J187" s="12"/>
      <c r="K187" s="12"/>
      <c r="L187" s="12"/>
      <c r="M187" s="12"/>
      <c r="N187" s="12"/>
    </row>
    <row r="188" spans="2:14" outlineLevel="1">
      <c r="B188" t="s">
        <v>89</v>
      </c>
      <c r="E188" s="12"/>
      <c r="F188" s="12">
        <v>-52</v>
      </c>
      <c r="G188" s="12">
        <v>-39</v>
      </c>
      <c r="H188" s="12">
        <v>-155</v>
      </c>
      <c r="I188" s="12"/>
      <c r="J188" s="12"/>
      <c r="K188" s="12"/>
      <c r="L188" s="12"/>
      <c r="M188" s="12"/>
      <c r="N188" s="12"/>
    </row>
    <row r="189" spans="2:14" outlineLevel="1">
      <c r="B189" t="s">
        <v>90</v>
      </c>
      <c r="E189" s="12"/>
      <c r="F189" s="12">
        <v>23</v>
      </c>
      <c r="G189" s="12">
        <v>5</v>
      </c>
      <c r="H189" s="12">
        <v>61</v>
      </c>
      <c r="I189" s="12"/>
      <c r="J189" s="12"/>
      <c r="K189" s="12"/>
      <c r="L189" s="12"/>
      <c r="M189" s="12"/>
      <c r="N189" s="12"/>
    </row>
    <row r="190" spans="2:14" outlineLevel="1">
      <c r="B190" t="s">
        <v>91</v>
      </c>
      <c r="E190" s="12"/>
      <c r="F190" s="12" t="s">
        <v>18</v>
      </c>
      <c r="G190" s="12">
        <v>-3</v>
      </c>
      <c r="H190" s="12" t="s">
        <v>18</v>
      </c>
      <c r="I190" s="12"/>
      <c r="J190" s="12"/>
      <c r="K190" s="12"/>
      <c r="L190" s="12"/>
      <c r="M190" s="12"/>
      <c r="N190" s="12"/>
    </row>
    <row r="191" spans="2:14" outlineLevel="1">
      <c r="B191" s="37" t="s">
        <v>92</v>
      </c>
      <c r="C191" s="37"/>
      <c r="D191" s="38"/>
      <c r="E191" s="39"/>
      <c r="F191" s="41">
        <f>SUM(F183:F190)</f>
        <v>-2112</v>
      </c>
      <c r="G191" s="41">
        <f>SUM(G183:G190)</f>
        <v>-1068</v>
      </c>
      <c r="H191" s="41">
        <f>SUM(H183:H190)</f>
        <v>-2404</v>
      </c>
      <c r="I191" s="12"/>
      <c r="J191" s="12"/>
      <c r="K191" s="12"/>
      <c r="L191" s="12"/>
      <c r="M191" s="12"/>
      <c r="N191" s="12"/>
    </row>
    <row r="192" spans="2:14" outlineLevel="1">
      <c r="E192" s="12"/>
      <c r="F192" s="12"/>
      <c r="G192" s="12"/>
      <c r="H192" s="12"/>
      <c r="I192" s="12"/>
      <c r="J192" s="12"/>
      <c r="K192" s="12"/>
      <c r="L192" s="12"/>
      <c r="M192" s="12"/>
      <c r="N192" s="12"/>
    </row>
    <row r="193" spans="1:14" outlineLevel="1">
      <c r="B193" s="1" t="s">
        <v>83</v>
      </c>
      <c r="C193" s="1"/>
      <c r="E193" s="12"/>
      <c r="F193" s="12"/>
      <c r="G193" s="12"/>
      <c r="H193" s="12"/>
      <c r="I193" s="12"/>
      <c r="J193" s="12"/>
      <c r="K193" s="12"/>
      <c r="L193" s="12"/>
      <c r="M193" s="12"/>
      <c r="N193" s="12"/>
    </row>
    <row r="194" spans="1:14" outlineLevel="1">
      <c r="B194" t="s">
        <v>93</v>
      </c>
      <c r="E194" s="12"/>
      <c r="F194" s="12">
        <v>1624</v>
      </c>
      <c r="G194" s="12">
        <v>5567</v>
      </c>
      <c r="H194" s="12">
        <v>6783</v>
      </c>
      <c r="I194" s="12"/>
      <c r="J194" s="12"/>
      <c r="K194" s="12"/>
      <c r="L194" s="12"/>
      <c r="M194" s="12"/>
      <c r="N194" s="12"/>
    </row>
    <row r="195" spans="1:14" outlineLevel="1">
      <c r="B195" t="s">
        <v>94</v>
      </c>
      <c r="E195" s="12"/>
      <c r="F195" s="12">
        <v>-3315</v>
      </c>
      <c r="G195" s="12">
        <v>-3015</v>
      </c>
      <c r="H195" s="12">
        <v>-5396</v>
      </c>
      <c r="I195" s="12"/>
      <c r="J195" s="12"/>
      <c r="K195" s="12"/>
      <c r="L195" s="12"/>
      <c r="M195" s="12"/>
      <c r="N195" s="12"/>
    </row>
    <row r="196" spans="1:14" outlineLevel="1">
      <c r="B196" t="s">
        <v>95</v>
      </c>
      <c r="E196" s="12"/>
      <c r="F196" s="12">
        <v>1837</v>
      </c>
      <c r="G196" s="12">
        <v>-1456</v>
      </c>
      <c r="H196" s="12">
        <v>278</v>
      </c>
      <c r="I196" s="12"/>
      <c r="J196" s="12"/>
      <c r="K196" s="12"/>
      <c r="L196" s="12"/>
      <c r="M196" s="12"/>
      <c r="N196" s="12"/>
    </row>
    <row r="197" spans="1:14" outlineLevel="1">
      <c r="B197" t="s">
        <v>96</v>
      </c>
      <c r="E197" s="12"/>
      <c r="F197" s="12">
        <v>-10</v>
      </c>
      <c r="G197" s="12">
        <v>-38</v>
      </c>
      <c r="H197" s="12">
        <v>-28</v>
      </c>
      <c r="I197" s="12"/>
      <c r="J197" s="12"/>
      <c r="K197" s="12"/>
      <c r="L197" s="12"/>
      <c r="M197" s="12"/>
      <c r="N197" s="12"/>
    </row>
    <row r="198" spans="1:14" outlineLevel="1">
      <c r="B198" t="s">
        <v>97</v>
      </c>
      <c r="E198" s="12"/>
      <c r="F198" s="12">
        <v>149</v>
      </c>
      <c r="G198" s="12">
        <v>101</v>
      </c>
      <c r="H198" s="12">
        <v>97</v>
      </c>
      <c r="I198" s="12"/>
      <c r="J198" s="12"/>
      <c r="K198" s="12"/>
      <c r="L198" s="12"/>
      <c r="M198" s="12"/>
      <c r="N198" s="12"/>
    </row>
    <row r="199" spans="1:14" outlineLevel="1">
      <c r="B199" t="s">
        <v>98</v>
      </c>
      <c r="E199" s="12"/>
      <c r="F199" s="12">
        <v>-2677</v>
      </c>
      <c r="G199" s="12">
        <v>-4827</v>
      </c>
      <c r="H199" s="12">
        <v>-5837</v>
      </c>
      <c r="I199" s="12">
        <v>-6400</v>
      </c>
      <c r="J199" s="12"/>
      <c r="K199" s="12"/>
      <c r="L199" s="12"/>
      <c r="M199" s="12"/>
      <c r="N199" s="12"/>
    </row>
    <row r="200" spans="1:14" outlineLevel="1">
      <c r="B200" t="s">
        <v>99</v>
      </c>
      <c r="E200" s="12"/>
      <c r="F200" s="12">
        <v>-78</v>
      </c>
      <c r="G200" s="12">
        <v>-527</v>
      </c>
      <c r="H200" s="12" t="s">
        <v>18</v>
      </c>
      <c r="I200" s="12"/>
      <c r="J200" s="12"/>
      <c r="K200" s="12"/>
      <c r="L200" s="12"/>
      <c r="M200" s="12"/>
      <c r="N200" s="12"/>
    </row>
    <row r="201" spans="1:14" outlineLevel="1">
      <c r="B201" t="s">
        <v>100</v>
      </c>
      <c r="E201" s="12"/>
      <c r="F201" s="12">
        <v>-42</v>
      </c>
      <c r="G201" s="12">
        <v>-34</v>
      </c>
      <c r="H201" s="12">
        <v>-55</v>
      </c>
      <c r="I201" s="12"/>
      <c r="J201" s="12"/>
      <c r="K201" s="12"/>
      <c r="L201" s="12"/>
      <c r="M201" s="12"/>
      <c r="N201" s="12"/>
    </row>
    <row r="202" spans="1:14" outlineLevel="1">
      <c r="B202" t="s">
        <v>101</v>
      </c>
      <c r="E202" s="12"/>
      <c r="F202" s="12"/>
      <c r="G202" s="12">
        <v>-56</v>
      </c>
      <c r="H202" s="12" t="s">
        <v>18</v>
      </c>
      <c r="I202" s="12"/>
      <c r="J202" s="12"/>
      <c r="K202" s="12"/>
      <c r="L202" s="12"/>
      <c r="M202" s="12"/>
      <c r="N202" s="12"/>
    </row>
    <row r="203" spans="1:14" outlineLevel="1">
      <c r="B203" t="s">
        <v>102</v>
      </c>
      <c r="E203" s="12"/>
      <c r="F203" s="12">
        <v>-2</v>
      </c>
      <c r="G203" s="12">
        <v>-35</v>
      </c>
      <c r="H203" s="12">
        <v>-3</v>
      </c>
      <c r="I203" s="12"/>
      <c r="J203" s="12"/>
      <c r="K203" s="12"/>
      <c r="L203" s="12"/>
      <c r="M203" s="12"/>
      <c r="N203" s="12"/>
    </row>
    <row r="204" spans="1:14" outlineLevel="1">
      <c r="B204" t="s">
        <v>103</v>
      </c>
      <c r="E204" s="12"/>
      <c r="F204" s="12">
        <v>36</v>
      </c>
      <c r="G204" s="12">
        <v>-36</v>
      </c>
      <c r="H204" s="12">
        <v>-4</v>
      </c>
      <c r="I204" s="12"/>
      <c r="J204" s="12"/>
      <c r="K204" s="12"/>
      <c r="L204" s="12"/>
      <c r="M204" s="12"/>
      <c r="N204" s="12"/>
    </row>
    <row r="205" spans="1:14" outlineLevel="1">
      <c r="B205" s="37" t="s">
        <v>104</v>
      </c>
      <c r="C205" s="37"/>
      <c r="D205" s="38"/>
      <c r="E205" s="39"/>
      <c r="F205" s="41">
        <f>SUM(F194:F204)</f>
        <v>-2478</v>
      </c>
      <c r="G205" s="41">
        <f>SUM(G194:G204)</f>
        <v>-4356</v>
      </c>
      <c r="H205" s="41">
        <f>SUM(H194:H204)</f>
        <v>-4165</v>
      </c>
      <c r="I205" s="12"/>
      <c r="J205" s="12"/>
      <c r="K205" s="12"/>
      <c r="L205" s="12"/>
      <c r="M205" s="12"/>
      <c r="N205" s="12"/>
    </row>
    <row r="206" spans="1:14" outlineLevel="1">
      <c r="E206" s="12"/>
      <c r="F206" s="12"/>
      <c r="G206" s="12"/>
      <c r="H206" s="12"/>
      <c r="I206" s="12"/>
      <c r="J206" s="12"/>
      <c r="K206" s="12"/>
      <c r="L206" s="12"/>
      <c r="M206" s="12"/>
      <c r="N206" s="12"/>
    </row>
    <row r="207" spans="1:14" outlineLevel="1">
      <c r="B207" t="s">
        <v>105</v>
      </c>
      <c r="E207" s="12"/>
      <c r="F207" s="12">
        <v>-41</v>
      </c>
      <c r="G207" s="12">
        <v>33</v>
      </c>
      <c r="H207" s="12">
        <v>-32</v>
      </c>
      <c r="I207" s="12"/>
      <c r="J207" s="12"/>
      <c r="K207" s="12"/>
      <c r="L207" s="12"/>
      <c r="M207" s="12"/>
      <c r="N207" s="12"/>
    </row>
    <row r="208" spans="1:14" s="1" customFormat="1" outlineLevel="1">
      <c r="A208"/>
      <c r="B208" s="4" t="s">
        <v>106</v>
      </c>
      <c r="C208" s="4"/>
      <c r="D208" s="4"/>
      <c r="E208" s="23"/>
      <c r="F208" s="24">
        <f>SUM(F173,F191,F205,F207,)</f>
        <v>426</v>
      </c>
      <c r="G208" s="24">
        <f>SUM(G173,G191,G205,G207,)</f>
        <v>-229</v>
      </c>
      <c r="H208" s="24">
        <f>SUM(H173,H191,H205,H207,)</f>
        <v>6338</v>
      </c>
      <c r="I208" s="21"/>
      <c r="J208" s="21"/>
      <c r="K208" s="21"/>
      <c r="L208" s="21"/>
      <c r="M208" s="21"/>
      <c r="N208" s="21"/>
    </row>
    <row r="210" spans="1:14" ht="24">
      <c r="A210" t="s">
        <v>229</v>
      </c>
      <c r="B210" s="9" t="s">
        <v>182</v>
      </c>
      <c r="C210" s="32"/>
      <c r="D210" s="33"/>
      <c r="E210" s="33"/>
      <c r="F210" s="33"/>
      <c r="G210" s="33"/>
      <c r="H210" s="33"/>
      <c r="I210" s="33"/>
      <c r="J210" s="33"/>
      <c r="K210" s="33"/>
      <c r="L210" s="33"/>
      <c r="M210" s="33"/>
      <c r="N210" s="33"/>
    </row>
    <row r="211" spans="1:14" ht="21" outlineLevel="1">
      <c r="B211" s="30"/>
      <c r="C211" s="30"/>
    </row>
    <row r="212" spans="1:14" outlineLevel="1">
      <c r="B212" s="1" t="s">
        <v>183</v>
      </c>
      <c r="F212" s="18">
        <v>44926</v>
      </c>
      <c r="G212" s="18">
        <f>EOMONTH(F212,12)</f>
        <v>45291</v>
      </c>
      <c r="H212" s="18">
        <f>EOMONTH(G212,12)</f>
        <v>45657</v>
      </c>
    </row>
    <row r="213" spans="1:14" outlineLevel="1">
      <c r="B213" t="s">
        <v>80</v>
      </c>
      <c r="F213" s="2" cm="1">
        <f t="array" ref="F213:F217">F168:F172</f>
        <v>-3585</v>
      </c>
      <c r="G213" s="2" cm="1">
        <f t="array" ref="G213:G217">G168:G172</f>
        <v>3</v>
      </c>
      <c r="H213" s="2" cm="1">
        <f t="array" ref="H213:H217">H168:H172</f>
        <v>-143</v>
      </c>
    </row>
    <row r="214" spans="1:14" outlineLevel="1">
      <c r="B214" t="s">
        <v>29</v>
      </c>
      <c r="F214">
        <v>-431</v>
      </c>
      <c r="G214">
        <v>8</v>
      </c>
      <c r="H214">
        <v>19</v>
      </c>
    </row>
    <row r="215" spans="1:14" outlineLevel="1">
      <c r="B215" t="s">
        <v>77</v>
      </c>
      <c r="F215">
        <v>-905</v>
      </c>
      <c r="G215">
        <v>-63</v>
      </c>
      <c r="H215">
        <v>-28</v>
      </c>
    </row>
    <row r="216" spans="1:14" outlineLevel="1">
      <c r="B216" t="s">
        <v>78</v>
      </c>
      <c r="F216">
        <v>3883</v>
      </c>
      <c r="G216">
        <v>472</v>
      </c>
      <c r="H216">
        <v>444</v>
      </c>
    </row>
    <row r="217" spans="1:14" outlineLevel="1">
      <c r="B217" t="s">
        <v>42</v>
      </c>
      <c r="F217">
        <v>625</v>
      </c>
      <c r="G217">
        <v>136</v>
      </c>
      <c r="H217">
        <v>58</v>
      </c>
    </row>
    <row r="218" spans="1:14" outlineLevel="1">
      <c r="B218" s="8" t="s">
        <v>185</v>
      </c>
      <c r="C218" s="8"/>
      <c r="D218" s="8"/>
      <c r="E218" s="8"/>
      <c r="F218" s="36">
        <f>SUM(_xlfn.ANCHORARRAY(F213))</f>
        <v>-413</v>
      </c>
      <c r="G218" s="36">
        <f t="shared" ref="G218:H218" si="27">SUM(_xlfn.ANCHORARRAY(G213))</f>
        <v>556</v>
      </c>
      <c r="H218" s="36">
        <f t="shared" si="27"/>
        <v>350</v>
      </c>
    </row>
    <row r="219" spans="1:14" outlineLevel="1">
      <c r="B219" t="s">
        <v>184</v>
      </c>
      <c r="F219" s="36">
        <f>SUM(F214)</f>
        <v>-431</v>
      </c>
      <c r="G219" s="2">
        <f>G218-F219</f>
        <v>987</v>
      </c>
      <c r="H219" s="2">
        <f>H218-G219</f>
        <v>-637</v>
      </c>
    </row>
    <row r="220" spans="1:14" outlineLevel="1">
      <c r="F220" s="131"/>
      <c r="G220" s="2"/>
      <c r="H220" s="2"/>
    </row>
    <row r="221" spans="1:14" outlineLevel="1">
      <c r="B221" s="1" t="s">
        <v>225</v>
      </c>
      <c r="F221" s="18">
        <v>44926</v>
      </c>
      <c r="G221" s="18">
        <f>EOMONTH(F221,12)</f>
        <v>45291</v>
      </c>
      <c r="H221" s="18">
        <f>EOMONTH(G221,12)</f>
        <v>45657</v>
      </c>
    </row>
    <row r="222" spans="1:14" outlineLevel="1">
      <c r="B222" t="s">
        <v>28</v>
      </c>
      <c r="F222" s="12">
        <f>F103</f>
        <v>3585</v>
      </c>
      <c r="G222" s="12">
        <f t="shared" ref="G222:H222" si="28">G103</f>
        <v>3582</v>
      </c>
      <c r="H222" s="12">
        <f t="shared" si="28"/>
        <v>3725</v>
      </c>
    </row>
    <row r="223" spans="1:14" outlineLevel="1">
      <c r="B223" t="s">
        <v>29</v>
      </c>
      <c r="F223" s="12">
        <f t="shared" ref="F223:H223" si="29">F104</f>
        <v>431</v>
      </c>
      <c r="G223" s="12">
        <f t="shared" si="29"/>
        <v>423</v>
      </c>
      <c r="H223" s="12">
        <f t="shared" si="29"/>
        <v>404</v>
      </c>
    </row>
    <row r="224" spans="1:14" outlineLevel="1">
      <c r="B224" t="s">
        <v>139</v>
      </c>
      <c r="F224" s="12">
        <f>F106</f>
        <v>1144</v>
      </c>
      <c r="G224" s="12">
        <f t="shared" ref="G224:H224" si="30">G106</f>
        <v>1921</v>
      </c>
      <c r="H224" s="12">
        <f t="shared" si="30"/>
        <v>2683</v>
      </c>
    </row>
    <row r="225" spans="1:28" outlineLevel="1">
      <c r="B225" s="135" t="s">
        <v>228</v>
      </c>
      <c r="C225" s="135"/>
      <c r="D225" s="135"/>
      <c r="E225" s="135"/>
      <c r="F225" s="136">
        <f>SUM(F222:F224)</f>
        <v>5160</v>
      </c>
      <c r="G225" s="136">
        <f t="shared" ref="G225:H225" si="31">SUM(G222:G224)</f>
        <v>5926</v>
      </c>
      <c r="H225" s="136">
        <f t="shared" si="31"/>
        <v>6812</v>
      </c>
    </row>
    <row r="226" spans="1:28" outlineLevel="1">
      <c r="B226" s="137"/>
      <c r="C226" s="137"/>
      <c r="D226" s="137"/>
      <c r="E226" s="137"/>
      <c r="F226" s="133"/>
      <c r="G226" s="133"/>
      <c r="H226" s="133"/>
    </row>
    <row r="227" spans="1:28" outlineLevel="1">
      <c r="B227" t="s">
        <v>40</v>
      </c>
      <c r="C227" s="137"/>
      <c r="D227" s="137"/>
      <c r="E227" s="137"/>
      <c r="F227" s="133">
        <f>F119</f>
        <v>3883</v>
      </c>
      <c r="G227" s="133">
        <f t="shared" ref="G227:H227" si="32">G119</f>
        <v>4355</v>
      </c>
      <c r="H227" s="133">
        <f t="shared" si="32"/>
        <v>4799</v>
      </c>
    </row>
    <row r="228" spans="1:28" outlineLevel="1">
      <c r="B228" t="s">
        <v>41</v>
      </c>
      <c r="C228" s="137"/>
      <c r="D228" s="137"/>
      <c r="E228" s="137"/>
      <c r="F228" s="133">
        <f>F120</f>
        <v>468</v>
      </c>
      <c r="G228" s="133">
        <f t="shared" ref="G228:H228" si="33">G120</f>
        <v>755</v>
      </c>
      <c r="H228" s="133">
        <f t="shared" si="33"/>
        <v>1110</v>
      </c>
    </row>
    <row r="229" spans="1:28" outlineLevel="1">
      <c r="B229" t="s">
        <v>42</v>
      </c>
      <c r="C229" s="137"/>
      <c r="D229" s="137"/>
      <c r="E229" s="137"/>
      <c r="F229" s="133">
        <f>F121</f>
        <v>625</v>
      </c>
      <c r="G229" s="133">
        <f t="shared" ref="G229:H229" si="34">G121</f>
        <v>761</v>
      </c>
      <c r="H229" s="133">
        <f t="shared" si="34"/>
        <v>819</v>
      </c>
    </row>
    <row r="230" spans="1:28" outlineLevel="1">
      <c r="B230" s="135" t="s">
        <v>226</v>
      </c>
      <c r="C230" s="135"/>
      <c r="D230" s="135"/>
      <c r="E230" s="135"/>
      <c r="F230" s="136">
        <f>SUM(F227:F229)</f>
        <v>4976</v>
      </c>
      <c r="G230" s="136">
        <f t="shared" ref="G230:H230" si="35">SUM(G227:G229)</f>
        <v>5871</v>
      </c>
      <c r="H230" s="136">
        <f t="shared" si="35"/>
        <v>6728</v>
      </c>
    </row>
    <row r="231" spans="1:28" outlineLevel="1">
      <c r="B231" s="132"/>
      <c r="F231" s="131"/>
      <c r="G231" s="131"/>
      <c r="H231" s="131"/>
    </row>
    <row r="232" spans="1:28" outlineLevel="1">
      <c r="B232" s="132" t="s">
        <v>32</v>
      </c>
      <c r="F232" s="131">
        <f>F110</f>
        <v>1958</v>
      </c>
      <c r="G232" s="131">
        <f t="shared" ref="G232:H232" si="36">G110</f>
        <v>2161</v>
      </c>
      <c r="H232" s="131">
        <f t="shared" si="36"/>
        <v>2374</v>
      </c>
    </row>
    <row r="233" spans="1:28" outlineLevel="1">
      <c r="B233" s="132" t="s">
        <v>227</v>
      </c>
      <c r="F233" s="131">
        <f>SUM(F111:F112)</f>
        <v>12415</v>
      </c>
      <c r="G233" s="131">
        <f t="shared" ref="G233:H233" si="37">SUM(G111:G112)</f>
        <v>11210</v>
      </c>
      <c r="H233" s="131">
        <f t="shared" si="37"/>
        <v>9940</v>
      </c>
    </row>
    <row r="234" spans="1:28" outlineLevel="1">
      <c r="B234" s="132" t="s">
        <v>35</v>
      </c>
      <c r="F234" s="131">
        <f>F113</f>
        <v>36811</v>
      </c>
      <c r="G234" s="131">
        <f t="shared" ref="G234:H234" si="38">G113</f>
        <v>37205</v>
      </c>
      <c r="H234" s="131">
        <f t="shared" si="38"/>
        <v>36584</v>
      </c>
    </row>
    <row r="235" spans="1:28" outlineLevel="1">
      <c r="B235" s="134" t="s">
        <v>225</v>
      </c>
      <c r="C235" s="134"/>
      <c r="D235" s="134"/>
      <c r="E235" s="134"/>
      <c r="F235" s="75">
        <f>F225+F230+SUM(F232:F234)</f>
        <v>61320</v>
      </c>
      <c r="G235" s="75">
        <f t="shared" ref="G235:H235" si="39">G225+G230+SUM(G232:G234)</f>
        <v>62373</v>
      </c>
      <c r="H235" s="75">
        <f t="shared" si="39"/>
        <v>62438</v>
      </c>
    </row>
    <row r="236" spans="1:28" outlineLevel="1">
      <c r="B236" s="132"/>
      <c r="F236" s="131"/>
      <c r="G236" s="2"/>
      <c r="H236" s="2"/>
    </row>
    <row r="238" spans="1:28" ht="24">
      <c r="A238" t="s">
        <v>229</v>
      </c>
      <c r="B238" s="9" t="s">
        <v>141</v>
      </c>
      <c r="C238" s="32"/>
      <c r="D238" s="33"/>
      <c r="E238" s="33"/>
      <c r="F238" s="33"/>
      <c r="G238" s="33"/>
      <c r="H238" s="33"/>
      <c r="I238" s="33"/>
      <c r="J238" s="33"/>
      <c r="K238" s="33"/>
      <c r="L238" s="33"/>
      <c r="M238" s="33"/>
      <c r="N238" s="33"/>
    </row>
    <row r="239" spans="1:28" outlineLevel="1">
      <c r="B239" s="31" t="s">
        <v>148</v>
      </c>
      <c r="C239" s="31"/>
      <c r="D239" s="76"/>
    </row>
    <row r="240" spans="1:28" outlineLevel="1">
      <c r="B240" t="s">
        <v>144</v>
      </c>
      <c r="C240" s="77">
        <v>0.17</v>
      </c>
      <c r="AB240" s="143"/>
    </row>
    <row r="241" spans="2:28" outlineLevel="1">
      <c r="B241" t="s">
        <v>116</v>
      </c>
      <c r="C241" s="78">
        <f>(H120+H125)/(H138+H125+H120)</f>
        <v>0.47853895353317405</v>
      </c>
      <c r="AB241" s="143"/>
    </row>
    <row r="242" spans="2:28" outlineLevel="1">
      <c r="B242" t="s">
        <v>117</v>
      </c>
      <c r="C242" s="78">
        <f>H138/(H138+H125+H120)</f>
        <v>0.52146104646682589</v>
      </c>
      <c r="AB242" s="143"/>
    </row>
    <row r="243" spans="2:28" outlineLevel="1">
      <c r="B243" t="s">
        <v>142</v>
      </c>
      <c r="C243" s="78">
        <v>4.02E-2</v>
      </c>
      <c r="AB243" s="143"/>
    </row>
    <row r="244" spans="2:28" outlineLevel="1">
      <c r="B244" t="s">
        <v>143</v>
      </c>
      <c r="C244" s="29">
        <f>0.04+0.04*(0.11-0.04)</f>
        <v>4.2800000000000005E-2</v>
      </c>
      <c r="AB244" s="143"/>
    </row>
    <row r="245" spans="2:28" outlineLevel="1">
      <c r="B245" t="s">
        <v>219</v>
      </c>
      <c r="C245" s="29">
        <f>(C240*C241*C243)+(C242*C244)</f>
        <v>2.5588867997225862E-2</v>
      </c>
      <c r="AB245" s="143"/>
    </row>
    <row r="246" spans="2:28" outlineLevel="1">
      <c r="B246" t="s">
        <v>145</v>
      </c>
      <c r="C246" s="89">
        <v>0.03</v>
      </c>
      <c r="AB246" s="143"/>
    </row>
    <row r="247" spans="2:28" outlineLevel="1">
      <c r="B247" t="s">
        <v>165</v>
      </c>
      <c r="C247" s="79">
        <v>4</v>
      </c>
      <c r="AB247" s="143"/>
    </row>
    <row r="248" spans="2:28" outlineLevel="1">
      <c r="B248" t="s">
        <v>146</v>
      </c>
      <c r="C248">
        <v>66.75</v>
      </c>
      <c r="AB248" s="143"/>
    </row>
    <row r="249" spans="2:28" outlineLevel="1">
      <c r="B249" t="s">
        <v>147</v>
      </c>
      <c r="C249" s="2">
        <f>H78</f>
        <v>561</v>
      </c>
      <c r="AB249" s="143"/>
    </row>
    <row r="250" spans="2:28" outlineLevel="1">
      <c r="AB250" s="143"/>
    </row>
    <row r="251" spans="2:28" ht="15.75" outlineLevel="1">
      <c r="D251" s="80"/>
      <c r="AB251" s="143"/>
    </row>
    <row r="252" spans="2:28" ht="15.75" outlineLevel="1">
      <c r="B252" s="81" t="s">
        <v>140</v>
      </c>
      <c r="C252" s="82"/>
      <c r="D252" s="83">
        <v>44926</v>
      </c>
      <c r="E252" s="83">
        <f>EOMONTH(D252,12)</f>
        <v>45291</v>
      </c>
      <c r="F252" s="83">
        <f t="shared" ref="F252:L252" si="40">EOMONTH(E252,12)</f>
        <v>45657</v>
      </c>
      <c r="G252" s="66">
        <f t="shared" si="40"/>
        <v>46022</v>
      </c>
      <c r="H252" s="66">
        <f t="shared" si="40"/>
        <v>46387</v>
      </c>
      <c r="I252" s="66">
        <f t="shared" si="40"/>
        <v>46752</v>
      </c>
      <c r="J252" s="66">
        <f t="shared" si="40"/>
        <v>47118</v>
      </c>
      <c r="K252" s="66">
        <f t="shared" si="40"/>
        <v>47483</v>
      </c>
      <c r="L252" s="66">
        <f t="shared" si="40"/>
        <v>47848</v>
      </c>
      <c r="M252" s="90"/>
      <c r="O252" s="31" t="s">
        <v>159</v>
      </c>
      <c r="P252" s="76"/>
      <c r="Q252" s="76"/>
      <c r="R252" s="76"/>
      <c r="AB252" s="143"/>
    </row>
    <row r="253" spans="2:28" ht="15.75" outlineLevel="1">
      <c r="B253" s="80"/>
      <c r="C253" s="80"/>
      <c r="D253" s="84">
        <v>44926</v>
      </c>
      <c r="E253" s="84">
        <v>45291</v>
      </c>
      <c r="F253" s="84">
        <v>45657</v>
      </c>
      <c r="G253" s="84">
        <v>46022</v>
      </c>
      <c r="H253" s="84">
        <v>46387</v>
      </c>
      <c r="I253" s="84">
        <v>46752</v>
      </c>
      <c r="J253" s="84">
        <v>47118</v>
      </c>
      <c r="K253" s="84">
        <v>47483</v>
      </c>
      <c r="L253" s="84">
        <v>47848</v>
      </c>
      <c r="M253" s="84"/>
      <c r="O253" s="120" t="s">
        <v>160</v>
      </c>
      <c r="P253" s="120"/>
      <c r="Q253" s="77">
        <f>C246</f>
        <v>0.03</v>
      </c>
      <c r="AB253" s="143"/>
    </row>
    <row r="254" spans="2:28" ht="15.75" outlineLevel="1">
      <c r="B254" s="80" t="s">
        <v>149</v>
      </c>
      <c r="C254" s="80"/>
      <c r="D254" s="2">
        <f>F72</f>
        <v>3352</v>
      </c>
      <c r="E254" s="2">
        <f>G72</f>
        <v>3898</v>
      </c>
      <c r="F254" s="2">
        <f>H72</f>
        <v>4537</v>
      </c>
      <c r="G254" s="2">
        <f>I72</f>
        <v>4805.2418980576222</v>
      </c>
      <c r="H254" s="2">
        <f>J72</f>
        <v>5271.2090740950789</v>
      </c>
      <c r="I254" s="2">
        <f>K72</f>
        <v>5740.195280237087</v>
      </c>
      <c r="J254" s="2">
        <f>L72</f>
        <v>6376.3887163078307</v>
      </c>
      <c r="K254" s="2">
        <f>M72</f>
        <v>7384.3905766804146</v>
      </c>
      <c r="L254" s="2">
        <f>N72</f>
        <v>8457.9486198554696</v>
      </c>
      <c r="O254" s="119" t="s">
        <v>161</v>
      </c>
      <c r="P254" s="119"/>
      <c r="Q254" s="2">
        <f>L258*C247</f>
        <v>49977.215472439282</v>
      </c>
      <c r="AB254" s="143"/>
    </row>
    <row r="255" spans="2:28" ht="15.75" outlineLevel="1">
      <c r="B255" s="80" t="s">
        <v>150</v>
      </c>
      <c r="C255" s="80"/>
      <c r="D255" s="2">
        <f>F70</f>
        <v>733</v>
      </c>
      <c r="E255" s="2">
        <f>G70</f>
        <v>976</v>
      </c>
      <c r="F255" s="2">
        <f>H70</f>
        <v>1195</v>
      </c>
      <c r="G255" s="2">
        <f>I70</f>
        <v>1135.25</v>
      </c>
      <c r="H255" s="2">
        <f>J70</f>
        <v>1078.4875</v>
      </c>
      <c r="I255" s="2">
        <f>K70</f>
        <v>1024.5631249999999</v>
      </c>
      <c r="J255" s="2">
        <f>L70</f>
        <v>973.33496874999992</v>
      </c>
      <c r="K255" s="2">
        <f>M70</f>
        <v>924.6682203124999</v>
      </c>
      <c r="L255" s="2">
        <f>N70</f>
        <v>878.43480929687485</v>
      </c>
      <c r="AB255" s="143"/>
    </row>
    <row r="256" spans="2:28" ht="15.75" outlineLevel="1">
      <c r="B256" s="80" t="s">
        <v>13</v>
      </c>
      <c r="C256" s="80"/>
      <c r="D256" s="36">
        <f>D254+D255</f>
        <v>4085</v>
      </c>
      <c r="E256" s="36">
        <f t="shared" ref="E256:G256" si="41">E254+E255</f>
        <v>4874</v>
      </c>
      <c r="F256" s="36">
        <f t="shared" si="41"/>
        <v>5732</v>
      </c>
      <c r="G256" s="36">
        <f t="shared" si="41"/>
        <v>5940.4918980576222</v>
      </c>
      <c r="H256" s="36">
        <f t="shared" ref="H256" si="42">H254+H255</f>
        <v>6349.6965740950791</v>
      </c>
      <c r="I256" s="36">
        <f t="shared" ref="I256" si="43">I254+I255</f>
        <v>6764.7584052370867</v>
      </c>
      <c r="J256" s="36">
        <f t="shared" ref="J256" si="44">J254+J255</f>
        <v>7349.7236850578302</v>
      </c>
      <c r="K256" s="36">
        <f t="shared" ref="K256" si="45">K254+K255</f>
        <v>8309.0587969929147</v>
      </c>
      <c r="L256" s="36">
        <f t="shared" ref="L256" si="46">L254+L255</f>
        <v>9336.3834291523453</v>
      </c>
      <c r="AB256" s="143"/>
    </row>
    <row r="257" spans="2:28" ht="15.75" outlineLevel="1">
      <c r="B257" s="80" t="s">
        <v>151</v>
      </c>
      <c r="C257" s="80"/>
      <c r="D257" s="2">
        <f>F68</f>
        <v>3212</v>
      </c>
      <c r="E257" s="2">
        <f>G68</f>
        <v>3162</v>
      </c>
      <c r="F257" s="2">
        <f>H68</f>
        <v>3138</v>
      </c>
      <c r="G257" s="2">
        <f>I68</f>
        <v>3170.6666666666665</v>
      </c>
      <c r="H257" s="2">
        <f>J68</f>
        <v>3156.8888888888887</v>
      </c>
      <c r="I257" s="2">
        <f>K68</f>
        <v>3155.1851851851848</v>
      </c>
      <c r="J257" s="2">
        <f>L68</f>
        <v>3160.9135802469132</v>
      </c>
      <c r="K257" s="2">
        <f>M68</f>
        <v>3157.662551440329</v>
      </c>
      <c r="L257" s="2">
        <f>N68</f>
        <v>3157.9204389574757</v>
      </c>
      <c r="AB257" s="143"/>
    </row>
    <row r="258" spans="2:28" ht="15.75" outlineLevel="1">
      <c r="B258" s="80" t="s">
        <v>10</v>
      </c>
      <c r="C258" s="80"/>
      <c r="D258" s="36">
        <f>D256+D257</f>
        <v>7297</v>
      </c>
      <c r="E258" s="36">
        <f t="shared" ref="E258:G258" si="47">E256+E257</f>
        <v>8036</v>
      </c>
      <c r="F258" s="36">
        <f t="shared" si="47"/>
        <v>8870</v>
      </c>
      <c r="G258" s="36">
        <f t="shared" si="47"/>
        <v>9111.1585647242882</v>
      </c>
      <c r="H258" s="36">
        <f t="shared" ref="H258" si="48">H256+H257</f>
        <v>9506.5854629839669</v>
      </c>
      <c r="I258" s="36">
        <f t="shared" ref="I258" si="49">I256+I257</f>
        <v>9919.9435904222719</v>
      </c>
      <c r="J258" s="36">
        <f t="shared" ref="J258" si="50">J256+J257</f>
        <v>10510.637265304744</v>
      </c>
      <c r="K258" s="36">
        <f t="shared" ref="K258" si="51">K256+K257</f>
        <v>11466.721348433244</v>
      </c>
      <c r="L258" s="36">
        <f t="shared" ref="L258" si="52">L256+L257</f>
        <v>12494.303868109821</v>
      </c>
      <c r="AB258" s="143"/>
    </row>
    <row r="259" spans="2:28" ht="15.75" outlineLevel="1">
      <c r="B259" s="80" t="s">
        <v>111</v>
      </c>
      <c r="C259" s="80"/>
      <c r="D259" s="2">
        <f>F183</f>
        <v>-1479</v>
      </c>
      <c r="E259" s="2">
        <f>G183</f>
        <v>-1388</v>
      </c>
      <c r="F259" s="2">
        <f>H183</f>
        <v>-1569</v>
      </c>
      <c r="G259" s="2">
        <f>F259*(1+I18)</f>
        <v>-1678.8300000000002</v>
      </c>
      <c r="H259" s="2">
        <f>G259*(1+J18)</f>
        <v>-1796.3481000000002</v>
      </c>
      <c r="I259" s="2">
        <f>H259*(1+K18)</f>
        <v>-1922.0924670000002</v>
      </c>
      <c r="J259" s="2">
        <f>I259*(1+L18)</f>
        <v>-2056.6389396900004</v>
      </c>
      <c r="K259" s="2">
        <f>J259*(1+M18)</f>
        <v>-2200.6036654683007</v>
      </c>
      <c r="L259" s="2">
        <f>K259*(1+N18)</f>
        <v>-2354.6459220510819</v>
      </c>
      <c r="AB259" s="143"/>
    </row>
    <row r="260" spans="2:28" ht="15.75" outlineLevel="1">
      <c r="B260" s="80" t="s">
        <v>152</v>
      </c>
      <c r="C260" s="80"/>
      <c r="D260" s="2">
        <f>F219</f>
        <v>-431</v>
      </c>
      <c r="E260" s="2">
        <f>G219</f>
        <v>987</v>
      </c>
      <c r="F260" s="2">
        <f>H219</f>
        <v>-637</v>
      </c>
      <c r="G260" s="2">
        <f>I19*I66</f>
        <v>349.08479999999997</v>
      </c>
      <c r="H260" s="2">
        <f>J19*J66</f>
        <v>356.06649599999997</v>
      </c>
      <c r="I260" s="2">
        <f>K19*K66</f>
        <v>363.18782591999997</v>
      </c>
      <c r="J260" s="2">
        <f>L19*L66</f>
        <v>370.45158243839995</v>
      </c>
      <c r="K260" s="2">
        <f>M19*M66</f>
        <v>377.86061408716796</v>
      </c>
      <c r="L260" s="2">
        <f>N19*N66</f>
        <v>385.41782636891134</v>
      </c>
      <c r="AB260" s="143"/>
    </row>
    <row r="261" spans="2:28" ht="15.75" outlineLevel="1">
      <c r="B261" s="82" t="s">
        <v>153</v>
      </c>
      <c r="C261" s="82"/>
      <c r="D261" s="75">
        <f>SUM(D258:D260)</f>
        <v>5387</v>
      </c>
      <c r="E261" s="75">
        <f t="shared" ref="E261:G261" si="53">SUM(E258:E260)</f>
        <v>7635</v>
      </c>
      <c r="F261" s="75">
        <f t="shared" si="53"/>
        <v>6664</v>
      </c>
      <c r="G261" s="75">
        <f t="shared" si="53"/>
        <v>7781.4133647242879</v>
      </c>
      <c r="H261" s="75">
        <f t="shared" ref="H261" si="54">SUM(H258:H260)</f>
        <v>8066.3038589839671</v>
      </c>
      <c r="I261" s="75">
        <f t="shared" ref="I261" si="55">SUM(I258:I260)</f>
        <v>8361.0389493422717</v>
      </c>
      <c r="J261" s="75">
        <f t="shared" ref="J261" si="56">SUM(J258:J260)</f>
        <v>8824.4499080531423</v>
      </c>
      <c r="K261" s="75">
        <f t="shared" ref="K261" si="57">SUM(K258:K260)</f>
        <v>9643.9782970521119</v>
      </c>
      <c r="L261" s="75">
        <f t="shared" ref="L261" si="58">SUM(L258:L260)</f>
        <v>10525.07577242765</v>
      </c>
      <c r="AB261" s="143"/>
    </row>
    <row r="262" spans="2:28" ht="15.75" outlineLevel="1">
      <c r="B262" s="80" t="s">
        <v>154</v>
      </c>
      <c r="C262" s="80"/>
      <c r="L262" s="2">
        <f>Q254</f>
        <v>49977.215472439282</v>
      </c>
      <c r="M262" s="2"/>
      <c r="AB262" s="143"/>
    </row>
    <row r="263" spans="2:28" ht="15.75" outlineLevel="1">
      <c r="B263" s="85" t="s">
        <v>155</v>
      </c>
      <c r="C263" s="86"/>
      <c r="D263" s="87"/>
      <c r="E263" s="87"/>
      <c r="F263" s="87"/>
      <c r="G263" s="87">
        <f t="shared" ref="G263:K263" si="59">SUM(G261:G262)</f>
        <v>7781.4133647242879</v>
      </c>
      <c r="H263" s="87">
        <f t="shared" si="59"/>
        <v>8066.3038589839671</v>
      </c>
      <c r="I263" s="87">
        <f t="shared" si="59"/>
        <v>8361.0389493422717</v>
      </c>
      <c r="J263" s="87">
        <f t="shared" si="59"/>
        <v>8824.4499080531423</v>
      </c>
      <c r="K263" s="87">
        <f t="shared" si="59"/>
        <v>9643.9782970521119</v>
      </c>
      <c r="L263" s="88">
        <f>SUM(L261:L262)</f>
        <v>60502.29124486693</v>
      </c>
      <c r="M263" s="2"/>
      <c r="AB263" s="143"/>
    </row>
    <row r="264" spans="2:28" ht="15.75" outlineLevel="1">
      <c r="B264" s="80"/>
      <c r="C264" s="80"/>
      <c r="D264" s="2"/>
      <c r="E264" s="2"/>
      <c r="F264" s="2"/>
      <c r="G264" s="2"/>
      <c r="H264" s="2"/>
      <c r="I264" s="2"/>
      <c r="J264" s="2"/>
      <c r="K264" s="2"/>
      <c r="L264" s="2"/>
      <c r="M264" s="2"/>
      <c r="AB264" s="143"/>
    </row>
    <row r="265" spans="2:28" ht="15.75" outlineLevel="1">
      <c r="B265" s="80"/>
      <c r="C265" s="80"/>
      <c r="D265" s="2"/>
      <c r="E265" s="2"/>
      <c r="F265" s="2"/>
      <c r="G265" s="2"/>
      <c r="H265" s="2"/>
      <c r="I265" s="2"/>
      <c r="J265" s="2"/>
      <c r="K265" s="2"/>
      <c r="L265" s="2"/>
      <c r="M265" s="2"/>
      <c r="AB265" s="143"/>
    </row>
    <row r="266" spans="2:28" ht="15.75" outlineLevel="1">
      <c r="B266" s="91" t="s">
        <v>162</v>
      </c>
      <c r="C266" s="92"/>
      <c r="D266" s="93"/>
      <c r="E266" s="94"/>
      <c r="F266" s="94"/>
      <c r="G266" s="94"/>
      <c r="H266" s="94"/>
      <c r="I266" s="94"/>
      <c r="J266" s="94"/>
      <c r="K266" s="94"/>
      <c r="L266" s="2"/>
      <c r="M266" s="2"/>
      <c r="AB266" s="144"/>
    </row>
    <row r="267" spans="2:28" ht="15.75" outlineLevel="1">
      <c r="B267" s="95" t="s">
        <v>220</v>
      </c>
      <c r="C267" s="96">
        <f>NPV(C245,G261:L261)</f>
        <v>48526.881487746854</v>
      </c>
      <c r="D267" s="97">
        <f>C267/$C$269</f>
        <v>0.49895441248634209</v>
      </c>
      <c r="E267" s="94"/>
      <c r="F267" s="94"/>
      <c r="G267" s="94"/>
      <c r="H267" s="94"/>
      <c r="I267" s="94"/>
      <c r="J267" s="94"/>
      <c r="K267" s="94"/>
      <c r="L267" s="2"/>
      <c r="M267" s="2"/>
    </row>
    <row r="268" spans="2:28" ht="15.75" outlineLevel="1">
      <c r="B268" s="98" t="s">
        <v>221</v>
      </c>
      <c r="C268" s="99">
        <f>NPV(C245,G262:L262)</f>
        <v>48730.263199945795</v>
      </c>
      <c r="D268" s="100">
        <f>C268/$C$269</f>
        <v>0.50104558751365791</v>
      </c>
      <c r="E268" s="101"/>
      <c r="F268" s="101"/>
      <c r="G268" s="101"/>
      <c r="H268" s="101"/>
      <c r="I268" s="101"/>
      <c r="J268" s="101"/>
      <c r="K268" s="101"/>
    </row>
    <row r="269" spans="2:28" ht="15.75" outlineLevel="1">
      <c r="B269" s="102" t="s">
        <v>162</v>
      </c>
      <c r="C269" s="103">
        <f>SUM(C267:C268)</f>
        <v>97257.144687692649</v>
      </c>
      <c r="D269" s="104">
        <f>SUM(D267:D268)</f>
        <v>1</v>
      </c>
      <c r="E269" s="101"/>
      <c r="F269" s="101"/>
      <c r="G269" s="101"/>
      <c r="H269" s="101"/>
      <c r="I269" s="101"/>
      <c r="J269" s="101"/>
      <c r="K269" s="101"/>
    </row>
    <row r="270" spans="2:28" ht="15.75" outlineLevel="1">
      <c r="B270" s="105"/>
      <c r="C270" s="106"/>
      <c r="D270" s="107"/>
      <c r="E270" s="101"/>
      <c r="F270" s="101"/>
      <c r="G270" s="101"/>
      <c r="H270" s="101"/>
      <c r="I270" s="101"/>
      <c r="J270" s="101"/>
      <c r="K270" s="101"/>
    </row>
    <row r="271" spans="2:28" outlineLevel="1">
      <c r="B271" s="101"/>
      <c r="C271" s="101"/>
      <c r="D271" s="101"/>
      <c r="E271" s="101"/>
      <c r="F271" s="101"/>
      <c r="G271" s="101"/>
      <c r="H271" s="101"/>
      <c r="I271" s="101"/>
      <c r="J271" s="101"/>
      <c r="K271" s="101"/>
    </row>
    <row r="272" spans="2:28" ht="14.25" customHeight="1" outlineLevel="1">
      <c r="B272" s="154" t="s">
        <v>168</v>
      </c>
      <c r="C272" s="155"/>
      <c r="D272" s="101"/>
      <c r="E272" s="101"/>
      <c r="F272" s="160" t="s">
        <v>169</v>
      </c>
      <c r="G272" s="160"/>
      <c r="H272" s="101"/>
      <c r="I272" s="101"/>
      <c r="J272" s="123" t="s">
        <v>171</v>
      </c>
      <c r="K272" s="123"/>
    </row>
    <row r="273" spans="2:14" outlineLevel="1">
      <c r="B273" s="108" t="s">
        <v>162</v>
      </c>
      <c r="C273" s="109">
        <f>C269</f>
        <v>97257.144687692649</v>
      </c>
      <c r="D273" s="101"/>
      <c r="E273" s="101"/>
      <c r="F273" s="108" t="s">
        <v>170</v>
      </c>
      <c r="G273" s="109">
        <f>C248*C249</f>
        <v>37446.75</v>
      </c>
      <c r="H273" s="101"/>
      <c r="I273" s="101"/>
      <c r="J273" s="108" t="s">
        <v>172</v>
      </c>
      <c r="K273" s="110">
        <f>C248</f>
        <v>66.75</v>
      </c>
    </row>
    <row r="274" spans="2:14" outlineLevel="1">
      <c r="B274" s="111" t="s">
        <v>163</v>
      </c>
      <c r="C274" s="112">
        <f>H102+H208</f>
        <v>7574</v>
      </c>
      <c r="D274" s="101"/>
      <c r="E274" s="101"/>
      <c r="F274" s="111" t="s">
        <v>163</v>
      </c>
      <c r="G274" s="112">
        <f>H102+H208</f>
        <v>7574</v>
      </c>
      <c r="H274" s="101"/>
      <c r="I274" s="101"/>
      <c r="J274" s="111" t="s">
        <v>173</v>
      </c>
      <c r="K274" s="113">
        <f>C278</f>
        <v>204.14107787467495</v>
      </c>
    </row>
    <row r="275" spans="2:14" outlineLevel="1">
      <c r="B275" s="111" t="s">
        <v>164</v>
      </c>
      <c r="C275" s="112">
        <f>H125+H120</f>
        <v>24840</v>
      </c>
      <c r="D275" s="101"/>
      <c r="E275" s="101"/>
      <c r="F275" s="111" t="s">
        <v>164</v>
      </c>
      <c r="G275" s="112">
        <f>H125+H120</f>
        <v>24840</v>
      </c>
      <c r="H275" s="101"/>
      <c r="I275" s="101"/>
      <c r="J275" s="111" t="s">
        <v>222</v>
      </c>
      <c r="K275" s="114">
        <f>K274/K273</f>
        <v>3.0582933014932578</v>
      </c>
    </row>
    <row r="276" spans="2:14" outlineLevel="1">
      <c r="B276" s="156" t="s">
        <v>166</v>
      </c>
      <c r="C276" s="157">
        <f>(C273-C274+C275)</f>
        <v>114523.14468769265</v>
      </c>
      <c r="D276" s="101"/>
      <c r="E276" s="101"/>
      <c r="F276" s="156" t="s">
        <v>166</v>
      </c>
      <c r="G276" s="157">
        <f>G273+G274-G275</f>
        <v>20180.75</v>
      </c>
      <c r="H276" s="101"/>
      <c r="I276" s="101"/>
      <c r="J276" s="115" t="s">
        <v>156</v>
      </c>
      <c r="K276" s="153"/>
    </row>
    <row r="277" spans="2:14" outlineLevel="1">
      <c r="B277" s="111"/>
      <c r="C277" s="113"/>
      <c r="D277" s="101"/>
      <c r="E277" s="101"/>
      <c r="F277" s="111"/>
      <c r="G277" s="161"/>
      <c r="H277" s="101"/>
      <c r="I277" s="101"/>
      <c r="J277" s="101"/>
      <c r="K277" s="101"/>
    </row>
    <row r="278" spans="2:14" ht="30" outlineLevel="1">
      <c r="B278" s="158" t="s">
        <v>167</v>
      </c>
      <c r="C278" s="159">
        <f>C276/C249</f>
        <v>204.14107787467495</v>
      </c>
      <c r="D278" s="101"/>
      <c r="E278" s="101"/>
      <c r="F278" s="162" t="s">
        <v>167</v>
      </c>
      <c r="G278" s="159">
        <f>G276/C249</f>
        <v>35.972816399286991</v>
      </c>
      <c r="H278" s="101"/>
      <c r="I278" s="101"/>
      <c r="J278" s="101"/>
      <c r="K278" s="101"/>
    </row>
    <row r="280" spans="2:14" ht="24">
      <c r="B280" s="9" t="s">
        <v>215</v>
      </c>
      <c r="C280" s="32"/>
      <c r="D280" s="33"/>
      <c r="E280" s="33"/>
      <c r="F280" s="33"/>
      <c r="G280" s="33"/>
      <c r="H280" s="33"/>
      <c r="I280" s="33"/>
      <c r="J280" s="33"/>
      <c r="K280" s="33"/>
      <c r="L280" s="33"/>
      <c r="M280" s="33"/>
      <c r="N280" s="33"/>
    </row>
    <row r="281" spans="2:14" outlineLevel="1"/>
    <row r="282" spans="2:14" outlineLevel="1"/>
    <row r="283" spans="2:14" outlineLevel="1">
      <c r="B283" s="42" t="s">
        <v>218</v>
      </c>
      <c r="C283" s="70"/>
      <c r="D283" s="70"/>
      <c r="E283" s="70"/>
      <c r="F283" s="70"/>
      <c r="G283" s="70"/>
      <c r="H283" s="70"/>
      <c r="I283" s="70"/>
    </row>
    <row r="284" spans="2:14" outlineLevel="1">
      <c r="B284" s="1"/>
    </row>
    <row r="285" spans="2:14" outlineLevel="1">
      <c r="E285" s="121" t="s">
        <v>216</v>
      </c>
      <c r="F285" s="121"/>
      <c r="G285" s="121"/>
      <c r="H285" s="121"/>
      <c r="I285" s="121"/>
    </row>
    <row r="286" spans="2:14" outlineLevel="1">
      <c r="C286" s="71"/>
      <c r="D286" s="118">
        <f>C278</f>
        <v>204.14107787467495</v>
      </c>
      <c r="E286" s="116">
        <v>0</v>
      </c>
      <c r="F286" s="116">
        <v>0.02</v>
      </c>
      <c r="G286" s="116">
        <v>0.04</v>
      </c>
      <c r="H286" s="116">
        <v>0.06</v>
      </c>
      <c r="I286" s="116">
        <v>0.08</v>
      </c>
    </row>
    <row r="287" spans="2:14" outlineLevel="1">
      <c r="C287" s="122" t="s">
        <v>217</v>
      </c>
      <c r="D287" s="117">
        <v>4</v>
      </c>
      <c r="E287" s="74">
        <f t="dataTable" ref="E287:I291" dt2D="1" dtr="1" r1="I11" r2="C247"/>
        <v>192.84449960370327</v>
      </c>
      <c r="F287" s="74">
        <v>198.49278873918908</v>
      </c>
      <c r="G287" s="74">
        <v>204.14107787467495</v>
      </c>
      <c r="H287" s="74">
        <v>209.78936701016073</v>
      </c>
      <c r="I287" s="74">
        <v>215.4376561456466</v>
      </c>
    </row>
    <row r="288" spans="2:14" outlineLevel="1">
      <c r="C288" s="122"/>
      <c r="D288" s="117">
        <f>D287+1</f>
        <v>5</v>
      </c>
      <c r="E288" s="74">
        <v>213.29565675017039</v>
      </c>
      <c r="F288" s="72">
        <v>219.57626909494175</v>
      </c>
      <c r="G288" s="72">
        <v>225.85688143971319</v>
      </c>
      <c r="H288" s="72">
        <v>232.13749378448449</v>
      </c>
      <c r="I288" s="74">
        <v>238.41810612925593</v>
      </c>
    </row>
    <row r="289" spans="3:12" outlineLevel="1">
      <c r="C289" s="122"/>
      <c r="D289" s="117">
        <f t="shared" ref="D289:D291" si="60">D288+1</f>
        <v>6</v>
      </c>
      <c r="E289" s="74">
        <v>233.74681389663752</v>
      </c>
      <c r="F289" s="72">
        <v>240.65974945069442</v>
      </c>
      <c r="G289" s="73">
        <v>247.57268500475143</v>
      </c>
      <c r="H289" s="72">
        <v>254.48562055880825</v>
      </c>
      <c r="I289" s="74">
        <v>261.39855611286526</v>
      </c>
    </row>
    <row r="290" spans="3:12" outlineLevel="1">
      <c r="C290" s="122"/>
      <c r="D290" s="117">
        <f t="shared" si="60"/>
        <v>7</v>
      </c>
      <c r="E290" s="74">
        <v>254.19797104310464</v>
      </c>
      <c r="F290" s="72">
        <v>261.74322980644712</v>
      </c>
      <c r="G290" s="72">
        <v>269.28848856978971</v>
      </c>
      <c r="H290" s="72">
        <v>276.83374733313212</v>
      </c>
      <c r="I290" s="74">
        <v>284.3790060964746</v>
      </c>
    </row>
    <row r="291" spans="3:12" outlineLevel="1">
      <c r="C291" s="122"/>
      <c r="D291" s="117">
        <f t="shared" si="60"/>
        <v>8</v>
      </c>
      <c r="E291" s="74">
        <v>274.64912818957174</v>
      </c>
      <c r="F291" s="74">
        <v>282.82671016219979</v>
      </c>
      <c r="G291" s="74">
        <v>291.00429213482784</v>
      </c>
      <c r="H291" s="74">
        <v>299.18187410745583</v>
      </c>
      <c r="I291" s="74">
        <v>307.35945608008399</v>
      </c>
    </row>
    <row r="302" spans="3:12">
      <c r="L302" t="s">
        <v>223</v>
      </c>
    </row>
  </sheetData>
  <mergeCells count="11">
    <mergeCell ref="L2:N2"/>
    <mergeCell ref="I55:N55"/>
    <mergeCell ref="F55:H55"/>
    <mergeCell ref="F6:H6"/>
    <mergeCell ref="I6:N6"/>
    <mergeCell ref="O254:P254"/>
    <mergeCell ref="O253:P253"/>
    <mergeCell ref="E285:I285"/>
    <mergeCell ref="C287:C291"/>
    <mergeCell ref="J272:K272"/>
    <mergeCell ref="F272:G272"/>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F3C3305-0D77-4AF0-A451-ACCE4021A8F8}">
          <x14:formula1>
            <xm:f>Assumptions!$B$3:$B$50</xm:f>
          </x14:formula1>
          <xm:sqref>D4:D5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E855F-70A1-480C-B689-6AA2C5253EB0}">
  <dimension ref="B2:D29"/>
  <sheetViews>
    <sheetView workbookViewId="0">
      <selection activeCell="C29" sqref="C29"/>
    </sheetView>
  </sheetViews>
  <sheetFormatPr defaultRowHeight="15"/>
  <sheetData>
    <row r="2" spans="3:4">
      <c r="C2" t="s">
        <v>234</v>
      </c>
    </row>
    <row r="3" spans="3:4">
      <c r="C3" s="143">
        <v>3.8500000000000006E-2</v>
      </c>
      <c r="D3" s="143"/>
    </row>
    <row r="4" spans="3:4">
      <c r="C4" s="143">
        <v>2.2500000000000003E-2</v>
      </c>
      <c r="D4" s="143"/>
    </row>
    <row r="5" spans="3:4">
      <c r="C5" s="143">
        <v>3.2000000000000001E-2</v>
      </c>
      <c r="D5" s="143"/>
    </row>
    <row r="6" spans="3:4">
      <c r="C6" s="143">
        <v>5.1500000000000004E-2</v>
      </c>
      <c r="D6" s="143"/>
    </row>
    <row r="7" spans="3:4">
      <c r="C7" s="143">
        <v>2.2500000000000003E-2</v>
      </c>
      <c r="D7" s="143"/>
    </row>
    <row r="8" spans="3:4">
      <c r="C8" s="143">
        <v>1.1250000000000001E-2</v>
      </c>
      <c r="D8" s="143"/>
    </row>
    <row r="9" spans="3:4">
      <c r="C9" s="143">
        <v>5.4500000000000007E-2</v>
      </c>
      <c r="D9" s="143"/>
    </row>
    <row r="10" spans="3:4">
      <c r="C10" s="143">
        <v>2.8750000000000001E-2</v>
      </c>
      <c r="D10" s="143"/>
    </row>
    <row r="11" spans="3:4">
      <c r="C11" s="143">
        <v>5.3750000000000006E-2</v>
      </c>
      <c r="D11" s="143"/>
    </row>
    <row r="12" spans="3:4">
      <c r="C12" s="143">
        <v>4.2000000000000003E-2</v>
      </c>
      <c r="D12" s="143"/>
    </row>
    <row r="13" spans="3:4">
      <c r="C13" s="143">
        <v>3.5000000000000003E-2</v>
      </c>
      <c r="D13" s="143"/>
    </row>
    <row r="14" spans="3:4">
      <c r="C14" s="143">
        <v>4.7500000000000001E-2</v>
      </c>
      <c r="D14" s="143"/>
    </row>
    <row r="15" spans="3:4">
      <c r="C15" s="143">
        <v>2.6500000000000003E-2</v>
      </c>
      <c r="D15" s="143"/>
    </row>
    <row r="16" spans="3:4">
      <c r="C16" s="143">
        <v>1.6250000000000001E-2</v>
      </c>
      <c r="D16" s="143"/>
    </row>
    <row r="17" spans="2:4">
      <c r="C17" s="143">
        <v>4.5500000000000006E-2</v>
      </c>
      <c r="D17" s="143"/>
    </row>
    <row r="18" spans="2:4">
      <c r="C18" s="143">
        <v>5.3500000000000006E-2</v>
      </c>
      <c r="D18" s="143"/>
    </row>
    <row r="19" spans="2:4">
      <c r="C19" s="143">
        <v>4.5000000000000005E-2</v>
      </c>
      <c r="D19" s="143"/>
    </row>
    <row r="20" spans="2:4">
      <c r="C20" s="143">
        <v>3.0000000000000002E-2</v>
      </c>
      <c r="D20" s="143"/>
    </row>
    <row r="21" spans="2:4">
      <c r="C21" s="143">
        <v>3.5000000000000003E-2</v>
      </c>
      <c r="D21" s="143"/>
    </row>
    <row r="22" spans="2:4">
      <c r="C22" s="143">
        <v>5.6000000000000001E-2</v>
      </c>
      <c r="D22" s="143"/>
    </row>
    <row r="23" spans="2:4">
      <c r="C23" s="143">
        <v>5.6250000000000001E-2</v>
      </c>
      <c r="D23" s="143"/>
    </row>
    <row r="24" spans="2:4">
      <c r="C24" s="143">
        <v>5.4500000000000007E-2</v>
      </c>
      <c r="D24" s="143"/>
    </row>
    <row r="25" spans="2:4">
      <c r="C25" s="143">
        <v>5.1500000000000004E-2</v>
      </c>
      <c r="D25" s="143"/>
    </row>
    <row r="26" spans="2:4">
      <c r="C26" s="143">
        <v>5.2500000000000005E-2</v>
      </c>
      <c r="D26" s="143"/>
    </row>
    <row r="27" spans="2:4">
      <c r="C27" s="143">
        <v>0.04</v>
      </c>
      <c r="D27" s="143"/>
    </row>
    <row r="28" spans="2:4">
      <c r="C28" s="143">
        <v>4.4000000000000004E-2</v>
      </c>
      <c r="D28" s="143"/>
    </row>
    <row r="29" spans="2:4">
      <c r="B29" t="s">
        <v>233</v>
      </c>
      <c r="C29" s="144">
        <f>AVERAGE(C3:C28)</f>
        <v>4.0240384615384622E-2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05369-14B1-408A-A15E-89A8007D9B27}">
  <dimension ref="A2:O33"/>
  <sheetViews>
    <sheetView topLeftCell="B1" zoomScaleNormal="100" workbookViewId="0">
      <selection activeCell="B43" sqref="B43"/>
    </sheetView>
  </sheetViews>
  <sheetFormatPr defaultRowHeight="15"/>
  <cols>
    <col min="1" max="1" width="27.140625" bestFit="1" customWidth="1"/>
    <col min="2" max="2" width="85.42578125" customWidth="1"/>
    <col min="3" max="3" width="48.42578125" bestFit="1" customWidth="1"/>
  </cols>
  <sheetData>
    <row r="2" spans="1:4">
      <c r="A2" s="1" t="s">
        <v>189</v>
      </c>
    </row>
    <row r="4" spans="1:4">
      <c r="A4" t="s">
        <v>176</v>
      </c>
      <c r="B4" s="2">
        <v>66.78</v>
      </c>
    </row>
    <row r="5" spans="1:4">
      <c r="A5" t="s">
        <v>212</v>
      </c>
      <c r="B5" s="2">
        <v>561288944</v>
      </c>
    </row>
    <row r="6" spans="1:4">
      <c r="A6" t="s">
        <v>213</v>
      </c>
      <c r="B6" s="2">
        <f>B5*B4</f>
        <v>37482875680.32</v>
      </c>
    </row>
    <row r="7" spans="1:4">
      <c r="A7" t="s">
        <v>163</v>
      </c>
      <c r="B7" s="2">
        <f>615*100000</f>
        <v>61500000</v>
      </c>
    </row>
    <row r="8" spans="1:4">
      <c r="A8" t="s">
        <v>164</v>
      </c>
      <c r="B8" s="2">
        <f>100000*24840</f>
        <v>2484000000</v>
      </c>
    </row>
    <row r="9" spans="1:4">
      <c r="A9" t="s">
        <v>162</v>
      </c>
      <c r="B9" s="2">
        <f>B6-B7+B8</f>
        <v>39905375680.32</v>
      </c>
    </row>
    <row r="12" spans="1:4">
      <c r="A12" s="1" t="s">
        <v>190</v>
      </c>
      <c r="B12" s="1" t="s">
        <v>200</v>
      </c>
      <c r="C12" s="1" t="s">
        <v>201</v>
      </c>
      <c r="D12" s="1" t="s">
        <v>199</v>
      </c>
    </row>
    <row r="13" spans="1:4">
      <c r="A13" t="s">
        <v>193</v>
      </c>
      <c r="B13" t="s">
        <v>195</v>
      </c>
      <c r="C13" t="s">
        <v>202</v>
      </c>
      <c r="D13" t="s">
        <v>203</v>
      </c>
    </row>
    <row r="14" spans="1:4">
      <c r="B14" t="s">
        <v>191</v>
      </c>
      <c r="C14" t="s">
        <v>204</v>
      </c>
      <c r="D14" t="s">
        <v>205</v>
      </c>
    </row>
    <row r="15" spans="1:4">
      <c r="B15" t="s">
        <v>192</v>
      </c>
      <c r="C15" t="s">
        <v>206</v>
      </c>
      <c r="D15" t="s">
        <v>207</v>
      </c>
    </row>
    <row r="17" spans="1:15">
      <c r="A17" t="s">
        <v>194</v>
      </c>
      <c r="B17" t="s">
        <v>196</v>
      </c>
      <c r="C17" t="s">
        <v>208</v>
      </c>
      <c r="D17" t="s">
        <v>209</v>
      </c>
    </row>
    <row r="18" spans="1:15">
      <c r="B18" t="s">
        <v>197</v>
      </c>
      <c r="C18" t="s">
        <v>208</v>
      </c>
      <c r="D18" t="s">
        <v>210</v>
      </c>
    </row>
    <row r="19" spans="1:15">
      <c r="B19" t="s">
        <v>198</v>
      </c>
      <c r="C19" t="s">
        <v>208</v>
      </c>
      <c r="D19" t="s">
        <v>211</v>
      </c>
    </row>
    <row r="24" spans="1:15" ht="30.75">
      <c r="A24" t="s">
        <v>188</v>
      </c>
      <c r="B24" s="61" t="s">
        <v>118</v>
      </c>
    </row>
    <row r="25" spans="1:15" ht="30">
      <c r="A25" t="s">
        <v>187</v>
      </c>
      <c r="B25" s="62" t="s">
        <v>119</v>
      </c>
    </row>
    <row r="26" spans="1:15" ht="15.75">
      <c r="A26" t="s">
        <v>186</v>
      </c>
      <c r="B26" s="61" t="s">
        <v>120</v>
      </c>
    </row>
    <row r="29" spans="1:15" ht="30">
      <c r="A29" t="s">
        <v>121</v>
      </c>
      <c r="B29" s="63" t="s">
        <v>123</v>
      </c>
    </row>
    <row r="30" spans="1:15" ht="30">
      <c r="A30" t="s">
        <v>121</v>
      </c>
      <c r="B30" s="62" t="s">
        <v>124</v>
      </c>
    </row>
    <row r="31" spans="1:15" ht="30">
      <c r="A31" t="s">
        <v>121</v>
      </c>
      <c r="B31" s="62" t="s">
        <v>125</v>
      </c>
      <c r="O31" s="11" t="s">
        <v>122</v>
      </c>
    </row>
    <row r="32" spans="1:15" ht="30">
      <c r="B32" s="62" t="s">
        <v>126</v>
      </c>
    </row>
    <row r="33" spans="1:2" ht="45">
      <c r="A33" t="s">
        <v>121</v>
      </c>
      <c r="B33" s="62" t="s">
        <v>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A0A7-3268-4858-8D19-5C5E22737EEC}">
  <dimension ref="B2:B5"/>
  <sheetViews>
    <sheetView zoomScaleNormal="100" workbookViewId="0">
      <selection activeCell="B6" sqref="B6"/>
    </sheetView>
  </sheetViews>
  <sheetFormatPr defaultRowHeight="15"/>
  <cols>
    <col min="2" max="2" width="35.28515625" bestFit="1" customWidth="1"/>
  </cols>
  <sheetData>
    <row r="2" spans="2:2">
      <c r="B2" t="s">
        <v>180</v>
      </c>
    </row>
    <row r="3" spans="2:2">
      <c r="B3">
        <v>1</v>
      </c>
    </row>
    <row r="4" spans="2:2">
      <c r="B4">
        <v>2</v>
      </c>
    </row>
    <row r="5" spans="2:2">
      <c r="B5">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400A-527D-4597-91CB-54EFF76792E6}">
  <dimension ref="A1:Q68"/>
  <sheetViews>
    <sheetView zoomScale="115" zoomScaleNormal="115" workbookViewId="0">
      <selection activeCell="J22" sqref="J22"/>
    </sheetView>
  </sheetViews>
  <sheetFormatPr defaultRowHeight="15"/>
  <cols>
    <col min="10" max="10" width="29.140625" bestFit="1" customWidth="1"/>
    <col min="11" max="11" width="14.7109375" bestFit="1" customWidth="1"/>
    <col min="13" max="13" width="13.42578125" bestFit="1" customWidth="1"/>
  </cols>
  <sheetData>
    <row r="1" spans="1:14">
      <c r="A1" t="s">
        <v>235</v>
      </c>
      <c r="B1" t="s">
        <v>236</v>
      </c>
    </row>
    <row r="2" spans="1:14">
      <c r="A2">
        <v>0.29149999999999998</v>
      </c>
      <c r="B2">
        <v>242.17</v>
      </c>
    </row>
    <row r="3" spans="1:14">
      <c r="A3">
        <v>0.34670000000000001</v>
      </c>
      <c r="B3">
        <v>247.08</v>
      </c>
    </row>
    <row r="4" spans="1:14">
      <c r="A4">
        <v>0.3967</v>
      </c>
      <c r="B4">
        <v>277.72000000000003</v>
      </c>
    </row>
    <row r="5" spans="1:14">
      <c r="A5">
        <v>0.45710000000000001</v>
      </c>
      <c r="B5">
        <v>353.4</v>
      </c>
      <c r="I5" t="s">
        <v>237</v>
      </c>
    </row>
    <row r="6" spans="1:14" ht="15.75" thickBot="1">
      <c r="A6">
        <v>0.65400000000000003</v>
      </c>
      <c r="B6">
        <v>330.22</v>
      </c>
    </row>
    <row r="7" spans="1:14">
      <c r="A7">
        <v>1.1899</v>
      </c>
      <c r="B7">
        <v>417.09</v>
      </c>
      <c r="I7" s="148" t="s">
        <v>238</v>
      </c>
      <c r="J7" s="148"/>
    </row>
    <row r="8" spans="1:14">
      <c r="A8">
        <v>1.1938</v>
      </c>
      <c r="B8">
        <v>435.71</v>
      </c>
      <c r="I8" s="145" t="s">
        <v>239</v>
      </c>
      <c r="J8" s="145">
        <v>0.87864709513845152</v>
      </c>
    </row>
    <row r="9" spans="1:14">
      <c r="A9">
        <v>1.3652</v>
      </c>
      <c r="B9">
        <v>466.45</v>
      </c>
      <c r="I9" s="145" t="s">
        <v>240</v>
      </c>
      <c r="J9" s="145">
        <v>0.77202071779523906</v>
      </c>
    </row>
    <row r="10" spans="1:14">
      <c r="A10">
        <v>1.5247999999999999</v>
      </c>
      <c r="B10">
        <v>459.27</v>
      </c>
      <c r="I10" s="145" t="s">
        <v>241</v>
      </c>
      <c r="J10" s="145">
        <v>0.76602126300037698</v>
      </c>
    </row>
    <row r="11" spans="1:14">
      <c r="A11">
        <v>2.1274999999999999</v>
      </c>
      <c r="B11">
        <v>615.92999999999995</v>
      </c>
      <c r="I11" s="145" t="s">
        <v>242</v>
      </c>
      <c r="J11" s="145">
        <v>22.828782843781131</v>
      </c>
    </row>
    <row r="12" spans="1:14" ht="15.75" thickBot="1">
      <c r="A12">
        <v>2.6061999999999999</v>
      </c>
      <c r="B12">
        <v>740.74</v>
      </c>
      <c r="I12" s="146" t="s">
        <v>243</v>
      </c>
      <c r="J12" s="146">
        <v>40</v>
      </c>
    </row>
    <row r="13" spans="1:14">
      <c r="A13">
        <v>3.4839000000000002</v>
      </c>
      <c r="B13">
        <v>970.43</v>
      </c>
    </row>
    <row r="14" spans="1:14" ht="15.75" thickBot="1">
      <c r="A14">
        <v>5.4718</v>
      </c>
      <c r="B14">
        <v>1229.23</v>
      </c>
      <c r="I14" t="s">
        <v>244</v>
      </c>
    </row>
    <row r="15" spans="1:14">
      <c r="A15">
        <v>6.1134000000000004</v>
      </c>
      <c r="B15">
        <v>1469.25</v>
      </c>
      <c r="I15" s="147"/>
      <c r="J15" s="147" t="s">
        <v>249</v>
      </c>
      <c r="K15" s="147" t="s">
        <v>250</v>
      </c>
      <c r="L15" s="147" t="s">
        <v>251</v>
      </c>
      <c r="M15" s="147" t="s">
        <v>252</v>
      </c>
      <c r="N15" s="147" t="s">
        <v>253</v>
      </c>
    </row>
    <row r="16" spans="1:14">
      <c r="A16">
        <v>7.5694999999999997</v>
      </c>
      <c r="B16">
        <v>1320.28</v>
      </c>
      <c r="I16" s="145" t="s">
        <v>245</v>
      </c>
      <c r="J16" s="145">
        <v>1</v>
      </c>
      <c r="K16" s="145">
        <v>67062.954664426143</v>
      </c>
      <c r="L16" s="145">
        <v>67062.954664426143</v>
      </c>
      <c r="M16" s="145">
        <v>128.68181263010592</v>
      </c>
      <c r="N16" s="145">
        <v>9.1672065017609398E-14</v>
      </c>
    </row>
    <row r="17" spans="1:17">
      <c r="A17">
        <v>10.129300000000001</v>
      </c>
      <c r="B17">
        <v>1148.08</v>
      </c>
      <c r="I17" s="145" t="s">
        <v>246</v>
      </c>
      <c r="J17" s="145">
        <v>38</v>
      </c>
      <c r="K17" s="145">
        <v>19803.826392883595</v>
      </c>
      <c r="L17" s="145">
        <v>521.15332612851569</v>
      </c>
      <c r="M17" s="145"/>
      <c r="N17" s="145"/>
    </row>
    <row r="18" spans="1:17" ht="15.75" thickBot="1">
      <c r="A18">
        <v>8.1258999999999997</v>
      </c>
      <c r="B18">
        <v>879.82</v>
      </c>
      <c r="I18" s="146" t="s">
        <v>247</v>
      </c>
      <c r="J18" s="146">
        <v>39</v>
      </c>
      <c r="K18" s="146">
        <v>86866.781057309738</v>
      </c>
      <c r="L18" s="146"/>
      <c r="M18" s="146"/>
      <c r="N18" s="146"/>
    </row>
    <row r="19" spans="1:17" ht="15.75" thickBot="1">
      <c r="A19">
        <v>9.4639000000000006</v>
      </c>
      <c r="B19">
        <v>1111.92</v>
      </c>
    </row>
    <row r="20" spans="1:17">
      <c r="A20">
        <v>9.6195000000000004</v>
      </c>
      <c r="B20">
        <v>1211.92</v>
      </c>
      <c r="I20" s="147"/>
      <c r="J20" s="147" t="s">
        <v>254</v>
      </c>
      <c r="K20" s="147" t="s">
        <v>242</v>
      </c>
      <c r="L20" s="147" t="s">
        <v>255</v>
      </c>
      <c r="M20" s="147" t="s">
        <v>256</v>
      </c>
      <c r="N20" s="147" t="s">
        <v>257</v>
      </c>
      <c r="O20" s="147" t="s">
        <v>258</v>
      </c>
      <c r="P20" s="147" t="s">
        <v>259</v>
      </c>
      <c r="Q20" s="147" t="s">
        <v>260</v>
      </c>
    </row>
    <row r="21" spans="1:17">
      <c r="A21">
        <v>10.3567</v>
      </c>
      <c r="B21">
        <v>1248.29</v>
      </c>
      <c r="I21" s="145" t="s">
        <v>248</v>
      </c>
      <c r="J21" s="145">
        <v>-13.071232596975655</v>
      </c>
      <c r="K21" s="145">
        <v>5.4260549599900587</v>
      </c>
      <c r="L21" s="145">
        <v>-2.4089753408984276</v>
      </c>
      <c r="M21" s="145">
        <v>2.0951658242509649E-2</v>
      </c>
      <c r="N21" s="145">
        <v>-24.05570659104513</v>
      </c>
      <c r="O21" s="145">
        <v>-2.0867586029061815</v>
      </c>
      <c r="P21" s="145">
        <v>-24.05570659104513</v>
      </c>
      <c r="Q21" s="145">
        <v>-2.0867586029061815</v>
      </c>
    </row>
    <row r="22" spans="1:17" ht="15.75" thickBot="1">
      <c r="A22">
        <v>12.5467</v>
      </c>
      <c r="B22">
        <v>1418.3</v>
      </c>
      <c r="I22" s="146" t="s">
        <v>236</v>
      </c>
      <c r="J22" s="146">
        <v>2.608201145605504E-2</v>
      </c>
      <c r="K22" s="146">
        <v>2.2992304182008292E-3</v>
      </c>
      <c r="L22" s="146">
        <v>11.34380062545644</v>
      </c>
      <c r="M22" s="146">
        <v>9.1672065017609398E-14</v>
      </c>
      <c r="N22" s="146">
        <v>2.1427462815960401E-2</v>
      </c>
      <c r="O22" s="146">
        <v>3.0736560096149678E-2</v>
      </c>
      <c r="P22" s="146">
        <v>2.1427462815960401E-2</v>
      </c>
      <c r="Q22" s="146">
        <v>3.0736560096149678E-2</v>
      </c>
    </row>
    <row r="23" spans="1:17">
      <c r="A23">
        <v>13.281499999999999</v>
      </c>
      <c r="B23">
        <v>1468.36</v>
      </c>
    </row>
    <row r="24" spans="1:17">
      <c r="A24">
        <v>8.7051999999999996</v>
      </c>
      <c r="B24">
        <v>903.25</v>
      </c>
    </row>
    <row r="25" spans="1:17">
      <c r="A25">
        <v>11.6037</v>
      </c>
      <c r="B25">
        <v>1115.0999999999999</v>
      </c>
    </row>
    <row r="26" spans="1:17">
      <c r="A26">
        <v>14.016299999999999</v>
      </c>
      <c r="B26">
        <v>1257.6400000000001</v>
      </c>
      <c r="I26" t="s">
        <v>261</v>
      </c>
    </row>
    <row r="27" spans="1:17" ht="15.75" thickBot="1">
      <c r="A27">
        <v>14.0594</v>
      </c>
      <c r="B27">
        <v>1257.5999999999999</v>
      </c>
    </row>
    <row r="28" spans="1:17">
      <c r="A28">
        <v>18.915800000000001</v>
      </c>
      <c r="B28">
        <v>1426.19</v>
      </c>
      <c r="I28" s="147" t="s">
        <v>262</v>
      </c>
      <c r="J28" s="147" t="s">
        <v>263</v>
      </c>
      <c r="K28" s="147" t="s">
        <v>264</v>
      </c>
    </row>
    <row r="29" spans="1:17">
      <c r="A29">
        <v>28.344899999999999</v>
      </c>
      <c r="B29">
        <v>1848.36</v>
      </c>
      <c r="I29" s="145">
        <v>1</v>
      </c>
      <c r="J29" s="145">
        <v>-6.7549518826628061</v>
      </c>
      <c r="K29" s="145">
        <v>7.0464518826628062</v>
      </c>
    </row>
    <row r="30" spans="1:17">
      <c r="A30">
        <v>34.548000000000002</v>
      </c>
      <c r="B30">
        <v>2058.9</v>
      </c>
      <c r="I30" s="145">
        <v>2</v>
      </c>
      <c r="J30" s="145">
        <v>-6.6268892064135754</v>
      </c>
      <c r="K30" s="145">
        <v>6.9735892064135756</v>
      </c>
    </row>
    <row r="31" spans="1:17">
      <c r="A31">
        <v>45.160800000000002</v>
      </c>
      <c r="B31">
        <v>2043.94</v>
      </c>
      <c r="I31" s="145">
        <v>3</v>
      </c>
      <c r="J31" s="145">
        <v>-5.8277363754000486</v>
      </c>
      <c r="K31" s="145">
        <v>6.2244363754000487</v>
      </c>
    </row>
    <row r="32" spans="1:17">
      <c r="A32">
        <v>52.943300000000001</v>
      </c>
      <c r="B32">
        <v>2238.83</v>
      </c>
      <c r="I32" s="145">
        <v>4</v>
      </c>
      <c r="J32" s="145">
        <v>-3.8538497484058052</v>
      </c>
      <c r="K32" s="145">
        <v>4.3109497484058048</v>
      </c>
    </row>
    <row r="33" spans="1:11">
      <c r="A33">
        <v>65.564999999999998</v>
      </c>
      <c r="B33">
        <v>2673.61</v>
      </c>
      <c r="I33" s="145">
        <v>5</v>
      </c>
      <c r="J33" s="145">
        <v>-4.4584307739571596</v>
      </c>
      <c r="K33" s="145">
        <v>5.1124307739571595</v>
      </c>
    </row>
    <row r="34" spans="1:11">
      <c r="A34">
        <v>73.489999999999995</v>
      </c>
      <c r="B34">
        <v>2506.85</v>
      </c>
      <c r="I34" s="145">
        <v>6</v>
      </c>
      <c r="J34" s="145">
        <v>-2.192686438769659</v>
      </c>
      <c r="K34" s="145">
        <v>3.3825864387696587</v>
      </c>
    </row>
    <row r="35" spans="1:11">
      <c r="A35">
        <v>115.63</v>
      </c>
      <c r="B35">
        <v>3230.78</v>
      </c>
      <c r="I35" s="145">
        <v>7</v>
      </c>
      <c r="J35" s="145">
        <v>-1.7070393854579144</v>
      </c>
      <c r="K35" s="145">
        <v>2.9008393854579144</v>
      </c>
    </row>
    <row r="36" spans="1:11">
      <c r="A36">
        <v>113.86</v>
      </c>
      <c r="B36">
        <v>3756.07</v>
      </c>
      <c r="I36" s="145">
        <v>8</v>
      </c>
      <c r="J36" s="145">
        <v>-0.90527835329878137</v>
      </c>
      <c r="K36" s="145">
        <v>2.2704783532987811</v>
      </c>
    </row>
    <row r="37" spans="1:11">
      <c r="A37">
        <v>103.79</v>
      </c>
      <c r="B37">
        <v>4766.18</v>
      </c>
      <c r="I37" s="145">
        <v>9</v>
      </c>
      <c r="J37" s="145">
        <v>-1.0925471955532569</v>
      </c>
      <c r="K37" s="145">
        <v>2.6173471955532568</v>
      </c>
    </row>
    <row r="38" spans="1:11">
      <c r="A38">
        <v>101.07</v>
      </c>
      <c r="B38">
        <v>3839.5</v>
      </c>
      <c r="I38" s="145">
        <v>10</v>
      </c>
      <c r="J38" s="145">
        <v>2.9934607191523241</v>
      </c>
      <c r="K38" s="145">
        <v>-0.8659607191523242</v>
      </c>
    </row>
    <row r="39" spans="1:11">
      <c r="A39">
        <v>132.84</v>
      </c>
      <c r="B39">
        <v>4769.83</v>
      </c>
      <c r="I39" s="145">
        <v>11</v>
      </c>
      <c r="J39" s="145">
        <v>6.2487565689825537</v>
      </c>
      <c r="K39" s="145">
        <v>-3.6425565689825539</v>
      </c>
    </row>
    <row r="40" spans="1:11">
      <c r="A40">
        <v>205.42</v>
      </c>
      <c r="B40">
        <v>5881.63</v>
      </c>
      <c r="I40" s="145">
        <v>12</v>
      </c>
      <c r="J40" s="145">
        <v>12.239533780323836</v>
      </c>
      <c r="K40" s="145">
        <v>-8.7556337803238353</v>
      </c>
    </row>
    <row r="41" spans="1:11">
      <c r="A41">
        <v>67.17</v>
      </c>
      <c r="B41">
        <v>6845.5</v>
      </c>
      <c r="I41" s="145">
        <v>13</v>
      </c>
      <c r="J41" s="145">
        <v>18.989558345150883</v>
      </c>
      <c r="K41" s="145">
        <v>-13.517758345150883</v>
      </c>
    </row>
    <row r="42" spans="1:11">
      <c r="I42" s="145">
        <v>14</v>
      </c>
      <c r="J42" s="145">
        <v>25.249762734833212</v>
      </c>
      <c r="K42" s="145">
        <v>-19.136362734833213</v>
      </c>
    </row>
    <row r="43" spans="1:11">
      <c r="I43" s="145">
        <v>15</v>
      </c>
      <c r="J43" s="145">
        <v>21.364325488224694</v>
      </c>
      <c r="K43" s="145">
        <v>-13.794825488224694</v>
      </c>
    </row>
    <row r="44" spans="1:11">
      <c r="I44" s="145">
        <v>16</v>
      </c>
      <c r="J44" s="145">
        <v>16.873003115492015</v>
      </c>
      <c r="K44" s="145">
        <v>-6.7437031154920142</v>
      </c>
    </row>
    <row r="45" spans="1:11">
      <c r="I45" s="145">
        <v>17</v>
      </c>
      <c r="J45" s="145">
        <v>9.8762427222906908</v>
      </c>
      <c r="K45" s="145">
        <v>-1.7503427222906911</v>
      </c>
    </row>
    <row r="46" spans="1:11">
      <c r="I46" s="145">
        <v>18</v>
      </c>
      <c r="J46" s="145">
        <v>15.929877581241065</v>
      </c>
      <c r="K46" s="145">
        <v>-6.4659775812410647</v>
      </c>
    </row>
    <row r="47" spans="1:11">
      <c r="I47" s="145">
        <v>19</v>
      </c>
      <c r="J47" s="145">
        <v>18.538078726846571</v>
      </c>
      <c r="K47" s="145">
        <v>-8.9185787268465706</v>
      </c>
    </row>
    <row r="48" spans="1:11">
      <c r="I48" s="145">
        <v>20</v>
      </c>
      <c r="J48" s="145">
        <v>19.48668148350329</v>
      </c>
      <c r="K48" s="145">
        <v>-9.1299814835032898</v>
      </c>
    </row>
    <row r="49" spans="9:11">
      <c r="I49" s="145">
        <v>21</v>
      </c>
      <c r="J49" s="145">
        <v>23.920884251147207</v>
      </c>
      <c r="K49" s="145">
        <v>-11.374184251147208</v>
      </c>
    </row>
    <row r="50" spans="9:11">
      <c r="I50" s="145">
        <v>22</v>
      </c>
      <c r="J50" s="145">
        <v>25.226549744637317</v>
      </c>
      <c r="K50" s="145">
        <v>-11.945049744637318</v>
      </c>
    </row>
    <row r="51" spans="9:11">
      <c r="I51" s="145">
        <v>23</v>
      </c>
      <c r="J51" s="145">
        <v>10.487344250706059</v>
      </c>
      <c r="K51" s="145">
        <v>-1.7821442507060592</v>
      </c>
    </row>
    <row r="52" spans="9:11">
      <c r="I52" s="145">
        <v>24</v>
      </c>
      <c r="J52" s="145">
        <v>16.012818377671316</v>
      </c>
      <c r="K52" s="145">
        <v>-4.4091183776713159</v>
      </c>
    </row>
    <row r="53" spans="9:11">
      <c r="I53" s="145">
        <v>25</v>
      </c>
      <c r="J53" s="145">
        <v>19.730548290617406</v>
      </c>
      <c r="K53" s="145">
        <v>-5.714248290617407</v>
      </c>
    </row>
    <row r="54" spans="9:11">
      <c r="I54" s="145">
        <v>26</v>
      </c>
      <c r="J54" s="145">
        <v>19.729505010159158</v>
      </c>
      <c r="K54" s="145">
        <v>-5.6701050101591584</v>
      </c>
    </row>
    <row r="55" spans="9:11">
      <c r="I55" s="145">
        <v>27</v>
      </c>
      <c r="J55" s="145">
        <v>24.126671321535483</v>
      </c>
      <c r="K55" s="145">
        <v>-5.2108713215354818</v>
      </c>
    </row>
    <row r="56" spans="9:11">
      <c r="I56" s="145">
        <v>28</v>
      </c>
      <c r="J56" s="145">
        <v>35.137714097938236</v>
      </c>
      <c r="K56" s="145">
        <v>-6.792814097938237</v>
      </c>
    </row>
    <row r="57" spans="9:11">
      <c r="I57" s="145">
        <v>29</v>
      </c>
      <c r="J57" s="145">
        <v>40.629020789896067</v>
      </c>
      <c r="K57" s="145">
        <v>-6.0810207898960655</v>
      </c>
    </row>
    <row r="58" spans="9:11">
      <c r="I58" s="145">
        <v>30</v>
      </c>
      <c r="J58" s="145">
        <v>40.238833898513484</v>
      </c>
      <c r="K58" s="145">
        <v>4.9219661014865181</v>
      </c>
    </row>
    <row r="59" spans="9:11">
      <c r="I59" s="145">
        <v>31</v>
      </c>
      <c r="J59" s="145">
        <v>45.321957111184048</v>
      </c>
      <c r="K59" s="145">
        <v>7.6213428888159527</v>
      </c>
    </row>
    <row r="60" spans="9:11">
      <c r="I60" s="145">
        <v>32</v>
      </c>
      <c r="J60" s="145">
        <v>56.661894052047664</v>
      </c>
      <c r="K60" s="145">
        <v>8.9031059479523336</v>
      </c>
    </row>
    <row r="61" spans="9:11">
      <c r="I61" s="145">
        <v>33</v>
      </c>
      <c r="J61" s="145">
        <v>52.312457821635924</v>
      </c>
      <c r="K61" s="145">
        <v>21.177542178364071</v>
      </c>
    </row>
    <row r="62" spans="9:11">
      <c r="I62" s="145">
        <v>34</v>
      </c>
      <c r="J62" s="145">
        <v>71.194008375017859</v>
      </c>
      <c r="K62" s="145">
        <v>44.435991624982137</v>
      </c>
    </row>
    <row r="63" spans="9:11">
      <c r="I63" s="145">
        <v>35</v>
      </c>
      <c r="J63" s="145">
        <v>84.894628172768989</v>
      </c>
      <c r="K63" s="145">
        <v>28.96537182723101</v>
      </c>
    </row>
    <row r="64" spans="9:11">
      <c r="I64" s="145">
        <v>36</v>
      </c>
      <c r="J64" s="145">
        <v>111.24032876464477</v>
      </c>
      <c r="K64" s="145">
        <v>-7.450328764644766</v>
      </c>
    </row>
    <row r="65" spans="9:11">
      <c r="I65" s="145">
        <v>37</v>
      </c>
      <c r="J65" s="145">
        <v>87.070650388547676</v>
      </c>
      <c r="K65" s="145">
        <v>13.999349611452317</v>
      </c>
    </row>
    <row r="66" spans="9:11">
      <c r="I66" s="145">
        <v>38</v>
      </c>
      <c r="J66" s="145">
        <v>111.33552810645935</v>
      </c>
      <c r="K66" s="145">
        <v>21.504471893540654</v>
      </c>
    </row>
    <row r="67" spans="9:11">
      <c r="I67" s="145">
        <v>39</v>
      </c>
      <c r="J67" s="145">
        <v>140.33350844330135</v>
      </c>
      <c r="K67" s="145">
        <v>65.086491556698633</v>
      </c>
    </row>
    <row r="68" spans="9:11" ht="15.75" thickBot="1">
      <c r="I68" s="146">
        <v>40</v>
      </c>
      <c r="J68" s="146">
        <v>165.47317682544912</v>
      </c>
      <c r="K68" s="146">
        <v>-98.303176825449114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FISERV Inc 3 income statement</vt:lpstr>
      <vt:lpstr>Cost of Debt</vt:lpstr>
      <vt:lpstr>Business Information</vt:lpstr>
      <vt:lpstr>Assumptions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 Somosa</dc:creator>
  <cp:lastModifiedBy>Johann Somosa</cp:lastModifiedBy>
  <cp:lastPrinted>2026-02-20T22:39:46Z</cp:lastPrinted>
  <dcterms:created xsi:type="dcterms:W3CDTF">2025-12-09T08:05:00Z</dcterms:created>
  <dcterms:modified xsi:type="dcterms:W3CDTF">2026-02-26T22:00:47Z</dcterms:modified>
</cp:coreProperties>
</file>