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\Desktop\Finance\"/>
    </mc:Choice>
  </mc:AlternateContent>
  <xr:revisionPtr revIDLastSave="0" documentId="13_ncr:1_{500EEFCD-195E-4429-AE6E-15B4BB16E16F}" xr6:coauthVersionLast="47" xr6:coauthVersionMax="47" xr10:uidLastSave="{00000000-0000-0000-0000-000000000000}"/>
  <bookViews>
    <workbookView xWindow="-120" yWindow="-120" windowWidth="38640" windowHeight="21240" xr2:uid="{FDE15957-FADA-4031-87D3-FD4CFE53E9E9}"/>
  </bookViews>
  <sheets>
    <sheet name="Accretion Dilution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G45" i="1" s="1"/>
  <c r="G46" i="1" s="1"/>
  <c r="H61" i="1"/>
  <c r="H54" i="1"/>
  <c r="H52" i="1"/>
  <c r="F45" i="1"/>
  <c r="H45" i="1" l="1"/>
  <c r="F46" i="1"/>
  <c r="H46" i="1" s="1"/>
  <c r="H26" i="1"/>
  <c r="H28" i="1" s="1"/>
  <c r="H51" i="1" s="1"/>
  <c r="G36" i="1"/>
  <c r="D26" i="1" s="1"/>
  <c r="H53" i="1" s="1"/>
  <c r="D20" i="1" l="1"/>
  <c r="H11" i="1" l="1"/>
  <c r="H13" i="1" s="1"/>
  <c r="G35" i="1" l="1"/>
  <c r="C36" i="1"/>
  <c r="H49" i="1" s="1"/>
  <c r="D12" i="1"/>
  <c r="C35" i="1" l="1"/>
  <c r="H58" i="1"/>
  <c r="G38" i="1"/>
  <c r="H35" i="1" s="1"/>
  <c r="C38" i="1" l="1"/>
  <c r="H37" i="1"/>
  <c r="H36" i="1"/>
  <c r="H38" i="1" l="1"/>
  <c r="D36" i="1"/>
  <c r="C37" i="1"/>
  <c r="D35" i="1"/>
  <c r="D37" i="1" l="1"/>
  <c r="H50" i="1"/>
  <c r="H55" i="1" s="1"/>
  <c r="H57" i="1" s="1"/>
  <c r="H60" i="1" s="1"/>
  <c r="D38" i="1"/>
  <c r="H63" i="1" l="1"/>
  <c r="H62" i="1"/>
  <c r="C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</author>
  </authors>
  <commentList>
    <comment ref="D10" authorId="0" shapeId="0" xr:uid="{F63CB863-B336-4B8A-8118-6112E489E1D6}">
      <text>
        <r>
          <rPr>
            <b/>
            <sz val="9"/>
            <color indexed="81"/>
            <rFont val="Tahoma"/>
            <family val="2"/>
          </rPr>
          <t>Johann:</t>
        </r>
        <r>
          <rPr>
            <sz val="9"/>
            <color indexed="81"/>
            <rFont val="Tahoma"/>
            <family val="2"/>
          </rPr>
          <t xml:space="preserve">
"The company repurchased 7.2 million shares of common stock for $1.0 billion in the third quarter and 29.1 million shares of common stock for $5.4 billion in the first nine months of 2025." (FISERV Earnings Call 2025)</t>
        </r>
      </text>
    </comment>
  </commentList>
</comments>
</file>

<file path=xl/sharedStrings.xml><?xml version="1.0" encoding="utf-8"?>
<sst xmlns="http://schemas.openxmlformats.org/spreadsheetml/2006/main" count="70" uniqueCount="64">
  <si>
    <t>Assumptions</t>
  </si>
  <si>
    <t>Acquirer</t>
  </si>
  <si>
    <t>Purchase Price</t>
  </si>
  <si>
    <t>Outstanding Shares</t>
  </si>
  <si>
    <t>Shares issued</t>
  </si>
  <si>
    <t>Consideration</t>
  </si>
  <si>
    <t>Debt</t>
  </si>
  <si>
    <t>Interest rate</t>
  </si>
  <si>
    <t>Annual financing fee ammortization</t>
  </si>
  <si>
    <t>Target</t>
  </si>
  <si>
    <t>Share price premium</t>
  </si>
  <si>
    <t>% offer premium</t>
  </si>
  <si>
    <t>Offer price</t>
  </si>
  <si>
    <t>Diluted shares outstanding</t>
  </si>
  <si>
    <t>Financials</t>
  </si>
  <si>
    <t>Tax Rate</t>
  </si>
  <si>
    <t>Synergies</t>
  </si>
  <si>
    <t>Interest on cash</t>
  </si>
  <si>
    <t>Asset write up</t>
  </si>
  <si>
    <t>Book value of target assets</t>
  </si>
  <si>
    <t>Fair market value of target assets</t>
  </si>
  <si>
    <t>Incremental D&amp;A expense</t>
  </si>
  <si>
    <t>Sources and Uses</t>
  </si>
  <si>
    <t>Sources</t>
  </si>
  <si>
    <t>Acquirer stock issued</t>
  </si>
  <si>
    <t>Net Debt</t>
  </si>
  <si>
    <t>Cash (purchase price + fees)</t>
  </si>
  <si>
    <t>Total</t>
  </si>
  <si>
    <t>Uses</t>
  </si>
  <si>
    <t>Purchase price</t>
  </si>
  <si>
    <t>Financing Fees</t>
  </si>
  <si>
    <t>% of Stock</t>
  </si>
  <si>
    <t>% of Debt</t>
  </si>
  <si>
    <t>% of Cash</t>
  </si>
  <si>
    <t>Term (Years)</t>
  </si>
  <si>
    <t>Amount</t>
  </si>
  <si>
    <t>% of Capital</t>
  </si>
  <si>
    <t>Share Price</t>
  </si>
  <si>
    <t>Transaction Fees</t>
  </si>
  <si>
    <t>Useful life years</t>
  </si>
  <si>
    <t>Accretion/Dilution Model</t>
  </si>
  <si>
    <t xml:space="preserve"> </t>
  </si>
  <si>
    <t>Pro Forma</t>
  </si>
  <si>
    <t>Accretion/dilution analysis</t>
  </si>
  <si>
    <t>Standalone net income</t>
  </si>
  <si>
    <t>Pre-tax income</t>
  </si>
  <si>
    <t>Pro forma pre-tax income - unadjusted</t>
  </si>
  <si>
    <t>Less: Interest expense from new debt</t>
  </si>
  <si>
    <t>Less: Forgone interest on cash</t>
  </si>
  <si>
    <t>Less: Incremental D&amp;A expense</t>
  </si>
  <si>
    <t>Less: Deal fees</t>
  </si>
  <si>
    <t>Less: Financing fees amortization</t>
  </si>
  <si>
    <t>Plus: Synergies</t>
  </si>
  <si>
    <t>Pro forma pre-tax income - adjusted</t>
  </si>
  <si>
    <t>Pro forma net income</t>
  </si>
  <si>
    <t>Pro forma shares</t>
  </si>
  <si>
    <t>Pro forma EPS</t>
  </si>
  <si>
    <t>Acquirer standalone EPS</t>
  </si>
  <si>
    <t>Accretion/Dilution per share</t>
  </si>
  <si>
    <t>Accretion/Dilution %</t>
  </si>
  <si>
    <t>2024 EPS</t>
  </si>
  <si>
    <t>Accretive/Dilutive</t>
  </si>
  <si>
    <t>Acquirer - Fiserv</t>
  </si>
  <si>
    <t>Target - Toast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</si>
</sst>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.0_);\(#,##0.0\)"/>
    <numFmt numFmtId="165" formatCode="0.0"/>
    <numFmt numFmtId="166" formatCode="0.0%"/>
    <numFmt numFmtId="167" formatCode="_(&quot;$&quot;* #,##0_);_(&quot;$&quot;* \(#,##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9" fontId="0" fillId="0" borderId="0" xfId="1" applyFont="1"/>
    <xf numFmtId="9" fontId="1" fillId="0" borderId="0" xfId="1" applyFont="1"/>
    <xf numFmtId="37" fontId="3" fillId="0" borderId="0" xfId="0" applyNumberFormat="1" applyFont="1"/>
    <xf numFmtId="0" fontId="6" fillId="0" borderId="0" xfId="0" applyFont="1"/>
    <xf numFmtId="9" fontId="6" fillId="0" borderId="0" xfId="1" applyFont="1"/>
    <xf numFmtId="37" fontId="6" fillId="0" borderId="0" xfId="0" applyNumberFormat="1" applyFont="1" applyAlignment="1">
      <alignment horizontal="right"/>
    </xf>
    <xf numFmtId="1" fontId="1" fillId="0" borderId="0" xfId="0" applyNumberFormat="1" applyFont="1"/>
    <xf numFmtId="166" fontId="0" fillId="0" borderId="0" xfId="1" applyNumberFormat="1" applyFont="1"/>
    <xf numFmtId="2" fontId="2" fillId="0" borderId="0" xfId="1" applyNumberFormat="1" applyFont="1"/>
    <xf numFmtId="2" fontId="6" fillId="0" borderId="0" xfId="0" applyNumberFormat="1" applyFont="1"/>
    <xf numFmtId="167" fontId="6" fillId="0" borderId="0" xfId="2" applyNumberFormat="1" applyFont="1"/>
    <xf numFmtId="167" fontId="1" fillId="0" borderId="0" xfId="2" applyNumberFormat="1" applyFont="1"/>
    <xf numFmtId="44" fontId="0" fillId="0" borderId="0" xfId="0" applyNumberFormat="1"/>
    <xf numFmtId="1" fontId="0" fillId="0" borderId="0" xfId="2" applyNumberFormat="1" applyFont="1"/>
    <xf numFmtId="37" fontId="0" fillId="0" borderId="0" xfId="0" applyNumberFormat="1"/>
    <xf numFmtId="1" fontId="0" fillId="0" borderId="0" xfId="0" applyNumberFormat="1"/>
    <xf numFmtId="164" fontId="0" fillId="0" borderId="0" xfId="0" applyNumberFormat="1"/>
    <xf numFmtId="9" fontId="3" fillId="0" borderId="0" xfId="1" applyFont="1"/>
    <xf numFmtId="0" fontId="7" fillId="0" borderId="0" xfId="0" applyFont="1"/>
    <xf numFmtId="165" fontId="0" fillId="0" borderId="0" xfId="0" applyNumberFormat="1"/>
    <xf numFmtId="0" fontId="0" fillId="2" borderId="0" xfId="0" applyFill="1"/>
    <xf numFmtId="0" fontId="8" fillId="2" borderId="0" xfId="0" applyFont="1" applyFill="1"/>
    <xf numFmtId="0" fontId="8" fillId="0" borderId="0" xfId="0" applyFont="1"/>
    <xf numFmtId="0" fontId="3" fillId="3" borderId="0" xfId="0" applyFont="1" applyFill="1"/>
    <xf numFmtId="0" fontId="0" fillId="3" borderId="0" xfId="0" applyFill="1"/>
    <xf numFmtId="0" fontId="3" fillId="0" borderId="1" xfId="0" applyFont="1" applyBorder="1"/>
    <xf numFmtId="0" fontId="3" fillId="0" borderId="2" xfId="0" applyFont="1" applyBorder="1"/>
    <xf numFmtId="44" fontId="3" fillId="0" borderId="3" xfId="2" applyFont="1" applyBorder="1"/>
    <xf numFmtId="0" fontId="0" fillId="0" borderId="4" xfId="0" applyBorder="1"/>
    <xf numFmtId="44" fontId="0" fillId="0" borderId="5" xfId="2" applyFont="1" applyBorder="1"/>
    <xf numFmtId="0" fontId="3" fillId="0" borderId="4" xfId="0" applyFont="1" applyBorder="1"/>
    <xf numFmtId="44" fontId="3" fillId="0" borderId="5" xfId="0" applyNumberFormat="1" applyFont="1" applyBorder="1"/>
    <xf numFmtId="0" fontId="3" fillId="0" borderId="6" xfId="0" applyFont="1" applyBorder="1"/>
    <xf numFmtId="0" fontId="3" fillId="0" borderId="7" xfId="0" applyFont="1" applyBorder="1"/>
    <xf numFmtId="10" fontId="3" fillId="0" borderId="8" xfId="1" applyNumberFormat="1" applyFont="1" applyBorder="1"/>
    <xf numFmtId="0" fontId="3" fillId="0" borderId="9" xfId="0" applyFont="1" applyBorder="1"/>
    <xf numFmtId="0" fontId="0" fillId="0" borderId="10" xfId="0" applyBorder="1"/>
    <xf numFmtId="1" fontId="3" fillId="0" borderId="11" xfId="0" applyNumberFormat="1" applyFont="1" applyBorder="1"/>
    <xf numFmtId="165" fontId="3" fillId="0" borderId="0" xfId="0" applyNumberFormat="1" applyFont="1"/>
    <xf numFmtId="0" fontId="8" fillId="0" borderId="7" xfId="0" applyFont="1" applyBorder="1"/>
    <xf numFmtId="0" fontId="0" fillId="0" borderId="7" xfId="0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22C4-ABB6-4109-9399-7330861298B0}">
  <dimension ref="B2:J63"/>
  <sheetViews>
    <sheetView showGridLines="0" tabSelected="1" zoomScale="85" zoomScaleNormal="85" zoomScaleSheetLayoutView="100" workbookViewId="0">
      <selection activeCell="N17" sqref="N17"/>
    </sheetView>
  </sheetViews>
  <sheetFormatPr defaultRowHeight="15" x14ac:dyDescent="0.25"/>
  <cols>
    <col min="2" max="2" width="33.140625" bestFit="1" customWidth="1"/>
    <col min="3" max="3" width="9.85546875" bestFit="1" customWidth="1"/>
    <col min="5" max="6" width="30.5703125" bestFit="1" customWidth="1"/>
  </cols>
  <sheetData>
    <row r="2" spans="2:8" ht="18.75" x14ac:dyDescent="0.3">
      <c r="B2" s="42" t="s">
        <v>40</v>
      </c>
      <c r="C2" s="43"/>
      <c r="D2" s="43"/>
      <c r="E2" s="43"/>
      <c r="F2" s="43"/>
      <c r="G2" s="43"/>
      <c r="H2" s="43"/>
    </row>
    <row r="3" spans="2:8" ht="18.75" x14ac:dyDescent="0.3">
      <c r="B3" s="25"/>
    </row>
    <row r="4" spans="2:8" x14ac:dyDescent="0.25">
      <c r="B4" s="2" t="s">
        <v>61</v>
      </c>
      <c r="C4" s="15">
        <f>H62</f>
        <v>0.93055948447296011</v>
      </c>
    </row>
    <row r="6" spans="2:8" ht="18.75" x14ac:dyDescent="0.3">
      <c r="B6" s="24" t="s">
        <v>0</v>
      </c>
      <c r="C6" s="23"/>
      <c r="D6" s="23"/>
      <c r="E6" s="23"/>
      <c r="F6" s="23"/>
      <c r="G6" s="23"/>
      <c r="H6" s="23"/>
    </row>
    <row r="8" spans="2:8" x14ac:dyDescent="0.25">
      <c r="B8" s="26" t="s">
        <v>62</v>
      </c>
      <c r="C8" s="27"/>
      <c r="D8" s="27"/>
      <c r="F8" s="26" t="s">
        <v>63</v>
      </c>
      <c r="G8" s="27"/>
      <c r="H8" s="27"/>
    </row>
    <row r="9" spans="2:8" x14ac:dyDescent="0.25">
      <c r="B9" t="s">
        <v>37</v>
      </c>
      <c r="D9" s="13">
        <v>63</v>
      </c>
      <c r="F9" t="s">
        <v>10</v>
      </c>
      <c r="H9" s="14">
        <v>32</v>
      </c>
    </row>
    <row r="10" spans="2:8" x14ac:dyDescent="0.25">
      <c r="B10" t="s">
        <v>3</v>
      </c>
      <c r="D10" s="8">
        <v>597</v>
      </c>
      <c r="F10" t="s">
        <v>11</v>
      </c>
      <c r="H10" s="4">
        <v>0.3</v>
      </c>
    </row>
    <row r="11" spans="2:8" x14ac:dyDescent="0.25">
      <c r="B11" t="s">
        <v>60</v>
      </c>
      <c r="D11" s="11">
        <v>5.89</v>
      </c>
      <c r="F11" t="s">
        <v>12</v>
      </c>
      <c r="H11">
        <f>H9*(1+H10)</f>
        <v>41.6</v>
      </c>
    </row>
    <row r="12" spans="2:8" x14ac:dyDescent="0.25">
      <c r="B12" t="s">
        <v>4</v>
      </c>
      <c r="D12" s="16">
        <f>H13/D9*D19</f>
        <v>30.374603174603177</v>
      </c>
      <c r="F12" t="s">
        <v>13</v>
      </c>
      <c r="H12" s="8">
        <v>575</v>
      </c>
    </row>
    <row r="13" spans="2:8" x14ac:dyDescent="0.25">
      <c r="F13" s="2" t="s">
        <v>2</v>
      </c>
      <c r="H13" s="5">
        <f>H11*H12</f>
        <v>23920</v>
      </c>
    </row>
    <row r="14" spans="2:8" x14ac:dyDescent="0.25">
      <c r="F14" t="s">
        <v>60</v>
      </c>
      <c r="H14" s="12">
        <f>24/H12</f>
        <v>4.1739130434782612E-2</v>
      </c>
    </row>
    <row r="15" spans="2:8" x14ac:dyDescent="0.25">
      <c r="H15" s="6"/>
    </row>
    <row r="17" spans="2:10" x14ac:dyDescent="0.25">
      <c r="B17" s="26" t="s">
        <v>5</v>
      </c>
      <c r="C17" s="27"/>
      <c r="D17" s="27"/>
      <c r="F17" s="26" t="s">
        <v>14</v>
      </c>
      <c r="G17" s="27"/>
      <c r="H17" s="27"/>
    </row>
    <row r="18" spans="2:10" x14ac:dyDescent="0.25">
      <c r="B18" t="s">
        <v>32</v>
      </c>
      <c r="D18" s="7">
        <v>0.6</v>
      </c>
      <c r="F18" s="1" t="s">
        <v>15</v>
      </c>
      <c r="H18">
        <v>0.2</v>
      </c>
    </row>
    <row r="19" spans="2:10" x14ac:dyDescent="0.25">
      <c r="B19" t="s">
        <v>31</v>
      </c>
      <c r="D19" s="7">
        <v>0.08</v>
      </c>
      <c r="F19" s="1" t="s">
        <v>16</v>
      </c>
      <c r="H19">
        <v>100</v>
      </c>
    </row>
    <row r="20" spans="2:10" x14ac:dyDescent="0.25">
      <c r="B20" t="s">
        <v>33</v>
      </c>
      <c r="D20" s="3">
        <f>1-SUM(D18:D19)</f>
        <v>0.32000000000000006</v>
      </c>
      <c r="F20" s="1" t="s">
        <v>17</v>
      </c>
      <c r="H20" s="10">
        <v>1.4999999999999999E-2</v>
      </c>
    </row>
    <row r="21" spans="2:10" x14ac:dyDescent="0.25">
      <c r="D21" s="3"/>
      <c r="F21" s="1"/>
    </row>
    <row r="23" spans="2:10" x14ac:dyDescent="0.25">
      <c r="B23" s="26" t="s">
        <v>6</v>
      </c>
      <c r="C23" s="27"/>
      <c r="D23" s="27"/>
      <c r="F23" s="26" t="s">
        <v>18</v>
      </c>
      <c r="G23" s="27"/>
      <c r="H23" s="27"/>
    </row>
    <row r="24" spans="2:10" x14ac:dyDescent="0.25">
      <c r="B24" t="s">
        <v>34</v>
      </c>
      <c r="D24" s="9">
        <v>5</v>
      </c>
      <c r="F24" s="21" t="s">
        <v>19</v>
      </c>
      <c r="H24" s="6">
        <v>100</v>
      </c>
    </row>
    <row r="25" spans="2:10" x14ac:dyDescent="0.25">
      <c r="B25" t="s">
        <v>7</v>
      </c>
      <c r="D25" s="4">
        <v>0.05</v>
      </c>
      <c r="F25" s="21" t="s">
        <v>20</v>
      </c>
      <c r="H25" s="6">
        <v>250</v>
      </c>
    </row>
    <row r="26" spans="2:10" x14ac:dyDescent="0.25">
      <c r="B26" t="s">
        <v>8</v>
      </c>
      <c r="D26" s="1">
        <f>G36/D24</f>
        <v>30</v>
      </c>
      <c r="F26" s="21" t="s">
        <v>18</v>
      </c>
      <c r="H26" s="21">
        <f>H25-H24</f>
        <v>150</v>
      </c>
    </row>
    <row r="27" spans="2:10" x14ac:dyDescent="0.25">
      <c r="F27" s="21" t="s">
        <v>39</v>
      </c>
      <c r="H27" s="6">
        <v>8</v>
      </c>
    </row>
    <row r="28" spans="2:10" x14ac:dyDescent="0.25">
      <c r="F28" s="21" t="s">
        <v>21</v>
      </c>
      <c r="H28" s="22">
        <f>H26/H27</f>
        <v>18.75</v>
      </c>
    </row>
    <row r="31" spans="2:10" ht="18.75" x14ac:dyDescent="0.3">
      <c r="B31" s="24" t="s">
        <v>22</v>
      </c>
      <c r="C31" s="23"/>
      <c r="D31" s="23"/>
      <c r="E31" s="23"/>
      <c r="F31" s="23"/>
      <c r="G31" s="23"/>
      <c r="H31" s="23"/>
    </row>
    <row r="32" spans="2:10" x14ac:dyDescent="0.25">
      <c r="J32" t="s">
        <v>41</v>
      </c>
    </row>
    <row r="33" spans="2:8" x14ac:dyDescent="0.25">
      <c r="B33" s="26" t="s">
        <v>23</v>
      </c>
      <c r="C33" s="27"/>
      <c r="D33" s="27"/>
      <c r="F33" s="26" t="s">
        <v>28</v>
      </c>
      <c r="G33" s="27"/>
      <c r="H33" s="27"/>
    </row>
    <row r="34" spans="2:8" x14ac:dyDescent="0.25">
      <c r="C34" s="2" t="s">
        <v>35</v>
      </c>
      <c r="D34" s="2" t="s">
        <v>36</v>
      </c>
      <c r="G34" s="2" t="s">
        <v>35</v>
      </c>
      <c r="H34" s="2" t="s">
        <v>36</v>
      </c>
    </row>
    <row r="35" spans="2:8" x14ac:dyDescent="0.25">
      <c r="B35" t="s">
        <v>24</v>
      </c>
      <c r="C35" s="19">
        <f>D12*D9</f>
        <v>1913.6000000000001</v>
      </c>
      <c r="D35" s="10">
        <f t="shared" ref="D35:D37" si="0">C35/$C$38</f>
        <v>7.9254504038103135E-2</v>
      </c>
      <c r="F35" t="s">
        <v>29</v>
      </c>
      <c r="G35" s="17">
        <f>H13</f>
        <v>23920</v>
      </c>
      <c r="H35" s="10">
        <f>G35/$G$38</f>
        <v>0.99068130047628911</v>
      </c>
    </row>
    <row r="36" spans="2:8" x14ac:dyDescent="0.25">
      <c r="B36" t="s">
        <v>25</v>
      </c>
      <c r="C36" s="19">
        <f>D18*H13</f>
        <v>14352</v>
      </c>
      <c r="D36" s="10">
        <f t="shared" si="0"/>
        <v>0.59440878028577349</v>
      </c>
      <c r="F36" t="s">
        <v>30</v>
      </c>
      <c r="G36">
        <f>IF(D18=0,0,150)</f>
        <v>150</v>
      </c>
      <c r="H36" s="10">
        <f t="shared" ref="H36:H37" si="1">G36/$G$38</f>
        <v>6.2124663491406086E-3</v>
      </c>
    </row>
    <row r="37" spans="2:8" x14ac:dyDescent="0.25">
      <c r="B37" t="s">
        <v>26</v>
      </c>
      <c r="C37" s="19">
        <f>C38-SUM(C35:C36)</f>
        <v>7879.4</v>
      </c>
      <c r="D37" s="10">
        <f t="shared" si="0"/>
        <v>0.32633671567612338</v>
      </c>
      <c r="F37" t="s">
        <v>38</v>
      </c>
      <c r="G37">
        <v>75</v>
      </c>
      <c r="H37" s="10">
        <f t="shared" si="1"/>
        <v>3.1062331745703043E-3</v>
      </c>
    </row>
    <row r="38" spans="2:8" x14ac:dyDescent="0.25">
      <c r="B38" s="2" t="s">
        <v>27</v>
      </c>
      <c r="C38" s="19">
        <f>G38</f>
        <v>24145</v>
      </c>
      <c r="D38" s="3">
        <f>SUM(D35:D37)</f>
        <v>1</v>
      </c>
      <c r="F38" s="2" t="s">
        <v>27</v>
      </c>
      <c r="G38" s="5">
        <f>SUM(G35:G37)</f>
        <v>24145</v>
      </c>
      <c r="H38" s="20">
        <f>SUM(H35:H37)</f>
        <v>1</v>
      </c>
    </row>
    <row r="40" spans="2:8" ht="18.75" x14ac:dyDescent="0.3">
      <c r="B40" s="24" t="s">
        <v>40</v>
      </c>
      <c r="C40" s="23"/>
      <c r="D40" s="23"/>
      <c r="E40" s="23"/>
      <c r="F40" s="23"/>
      <c r="G40" s="23"/>
      <c r="H40" s="23"/>
    </row>
    <row r="42" spans="2:8" x14ac:dyDescent="0.25">
      <c r="B42" s="26"/>
      <c r="C42" s="27"/>
      <c r="D42" s="27"/>
      <c r="E42" s="26"/>
      <c r="F42" s="27" t="s">
        <v>1</v>
      </c>
      <c r="G42" s="27" t="s">
        <v>9</v>
      </c>
      <c r="H42" s="27" t="s">
        <v>42</v>
      </c>
    </row>
    <row r="44" spans="2:8" x14ac:dyDescent="0.25">
      <c r="B44" s="2" t="s">
        <v>43</v>
      </c>
    </row>
    <row r="45" spans="2:8" x14ac:dyDescent="0.25">
      <c r="B45" t="s">
        <v>44</v>
      </c>
      <c r="F45" s="18">
        <f>D10*D11</f>
        <v>3516.33</v>
      </c>
      <c r="G45" s="18">
        <f>H14*H12</f>
        <v>24.000000000000004</v>
      </c>
      <c r="H45" s="18">
        <f>F45+G45</f>
        <v>3540.33</v>
      </c>
    </row>
    <row r="46" spans="2:8" x14ac:dyDescent="0.25">
      <c r="B46" t="s">
        <v>45</v>
      </c>
      <c r="F46" s="18">
        <f>F45/(1-$H$18)</f>
        <v>4395.4124999999995</v>
      </c>
      <c r="G46">
        <f>G45/(1-$H$18)</f>
        <v>30.000000000000004</v>
      </c>
      <c r="H46" s="18">
        <f>F46+G46</f>
        <v>4425.4124999999995</v>
      </c>
    </row>
    <row r="48" spans="2:8" x14ac:dyDescent="0.25">
      <c r="B48" t="s">
        <v>46</v>
      </c>
    </row>
    <row r="49" spans="2:8" x14ac:dyDescent="0.25">
      <c r="B49" t="s">
        <v>47</v>
      </c>
      <c r="H49">
        <f>C36*D25</f>
        <v>717.6</v>
      </c>
    </row>
    <row r="50" spans="2:8" x14ac:dyDescent="0.25">
      <c r="B50" t="s">
        <v>48</v>
      </c>
      <c r="H50">
        <f>C37*H20</f>
        <v>118.19099999999999</v>
      </c>
    </row>
    <row r="51" spans="2:8" x14ac:dyDescent="0.25">
      <c r="B51" t="s">
        <v>49</v>
      </c>
      <c r="H51" s="22">
        <f>H28</f>
        <v>18.75</v>
      </c>
    </row>
    <row r="52" spans="2:8" x14ac:dyDescent="0.25">
      <c r="B52" t="s">
        <v>50</v>
      </c>
      <c r="H52">
        <f>G37</f>
        <v>75</v>
      </c>
    </row>
    <row r="53" spans="2:8" x14ac:dyDescent="0.25">
      <c r="B53" t="s">
        <v>51</v>
      </c>
      <c r="H53">
        <f>D26</f>
        <v>30</v>
      </c>
    </row>
    <row r="54" spans="2:8" x14ac:dyDescent="0.25">
      <c r="B54" t="s">
        <v>52</v>
      </c>
      <c r="H54">
        <f>H19</f>
        <v>100</v>
      </c>
    </row>
    <row r="55" spans="2:8" x14ac:dyDescent="0.25">
      <c r="B55" s="38" t="s">
        <v>53</v>
      </c>
      <c r="C55" s="39"/>
      <c r="D55" s="39"/>
      <c r="E55" s="39"/>
      <c r="F55" s="39"/>
      <c r="G55" s="39"/>
      <c r="H55" s="40">
        <f>H46-SUM(H49:H53)+H54</f>
        <v>3565.8714999999993</v>
      </c>
    </row>
    <row r="57" spans="2:8" x14ac:dyDescent="0.25">
      <c r="B57" s="2" t="s">
        <v>54</v>
      </c>
      <c r="C57" s="2"/>
      <c r="D57" s="2"/>
      <c r="E57" s="2"/>
      <c r="F57" s="2"/>
      <c r="G57" s="2"/>
      <c r="H57" s="41">
        <f>H55*(1+H18)</f>
        <v>4279.045799999999</v>
      </c>
    </row>
    <row r="58" spans="2:8" x14ac:dyDescent="0.25">
      <c r="B58" t="s">
        <v>55</v>
      </c>
      <c r="H58" s="22">
        <f>(D10+D12)</f>
        <v>627.37460317460318</v>
      </c>
    </row>
    <row r="60" spans="2:8" x14ac:dyDescent="0.25">
      <c r="B60" s="28" t="s">
        <v>56</v>
      </c>
      <c r="C60" s="29"/>
      <c r="D60" s="29"/>
      <c r="E60" s="29"/>
      <c r="F60" s="29"/>
      <c r="G60" s="29"/>
      <c r="H60" s="30">
        <f>H57/H58</f>
        <v>6.8205594844729598</v>
      </c>
    </row>
    <row r="61" spans="2:8" x14ac:dyDescent="0.25">
      <c r="B61" s="31" t="s">
        <v>57</v>
      </c>
      <c r="H61" s="32">
        <f>D11</f>
        <v>5.89</v>
      </c>
    </row>
    <row r="62" spans="2:8" x14ac:dyDescent="0.25">
      <c r="B62" s="33" t="s">
        <v>58</v>
      </c>
      <c r="C62" s="2"/>
      <c r="D62" s="2"/>
      <c r="E62" s="2"/>
      <c r="F62" s="2"/>
      <c r="G62" s="2"/>
      <c r="H62" s="34">
        <f>H60-H61</f>
        <v>0.93055948447296011</v>
      </c>
    </row>
    <row r="63" spans="2:8" x14ac:dyDescent="0.25">
      <c r="B63" s="35" t="s">
        <v>59</v>
      </c>
      <c r="C63" s="36"/>
      <c r="D63" s="36"/>
      <c r="E63" s="36"/>
      <c r="F63" s="36"/>
      <c r="G63" s="36"/>
      <c r="H63" s="37">
        <f>H60/H61-1</f>
        <v>0.15798972571697112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Accretion Dilution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Somosa</dc:creator>
  <cp:lastModifiedBy>Johann Somosa</cp:lastModifiedBy>
  <cp:lastPrinted>2026-03-06T02:44:27Z</cp:lastPrinted>
  <dcterms:created xsi:type="dcterms:W3CDTF">2026-02-24T02:24:35Z</dcterms:created>
  <dcterms:modified xsi:type="dcterms:W3CDTF">2026-03-06T02:44:29Z</dcterms:modified>
</cp:coreProperties>
</file>