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Johann\Desktop\Finance\"/>
    </mc:Choice>
  </mc:AlternateContent>
  <xr:revisionPtr revIDLastSave="0" documentId="8_{DF2E6FA0-203B-4BD6-9B14-FF11FA3003DA}" xr6:coauthVersionLast="47" xr6:coauthVersionMax="47" xr10:uidLastSave="{00000000-0000-0000-0000-000000000000}"/>
  <bookViews>
    <workbookView xWindow="-120" yWindow="-120" windowWidth="38640" windowHeight="21240" xr2:uid="{6ACC9531-D97C-4E94-AB52-1010E05B5708}"/>
  </bookViews>
  <sheets>
    <sheet name="Valuations" sheetId="1" r:id="rId1"/>
    <sheet name="Business Information" sheetId="4" r:id="rId2"/>
    <sheet name="Paypal 3statement Model"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1" i="1" l="1"/>
  <c r="AC17" i="1"/>
  <c r="AA17" i="1"/>
  <c r="S31" i="1"/>
  <c r="S30" i="1"/>
  <c r="S29" i="1"/>
  <c r="S28" i="1"/>
  <c r="Q31" i="1"/>
  <c r="Q30" i="1"/>
  <c r="Q29" i="1"/>
  <c r="Q28" i="1"/>
  <c r="V21" i="1"/>
  <c r="T14" i="1"/>
  <c r="I14" i="1"/>
  <c r="J14" i="1"/>
  <c r="Q14" i="1" s="1"/>
  <c r="K14" i="1"/>
  <c r="I29" i="1" s="1"/>
  <c r="L14" i="1"/>
  <c r="S14" i="1" s="1"/>
  <c r="M14" i="1"/>
  <c r="J29" i="1" s="1"/>
  <c r="D14" i="1"/>
  <c r="E14" i="1"/>
  <c r="D15" i="1"/>
  <c r="O15" i="1"/>
  <c r="O16" i="1"/>
  <c r="V16" i="1" s="1"/>
  <c r="O17" i="1"/>
  <c r="V17" i="1" s="1"/>
  <c r="O19" i="1"/>
  <c r="V19" i="1" s="1"/>
  <c r="O20" i="1"/>
  <c r="V20" i="1" s="1"/>
  <c r="O21" i="1"/>
  <c r="N21" i="1"/>
  <c r="U21" i="1" s="1"/>
  <c r="C21" i="1"/>
  <c r="D21" i="1"/>
  <c r="E21" i="1"/>
  <c r="I21" i="1"/>
  <c r="J21" i="1"/>
  <c r="Q21" i="1" s="1"/>
  <c r="K21" i="1"/>
  <c r="R21" i="1" s="1"/>
  <c r="L21" i="1"/>
  <c r="S21" i="1" s="1"/>
  <c r="M21" i="1"/>
  <c r="T21" i="1" s="1"/>
  <c r="C14" i="1"/>
  <c r="N20" i="1"/>
  <c r="U20" i="1" s="1"/>
  <c r="N19" i="1"/>
  <c r="U19" i="1" s="1"/>
  <c r="N17" i="1"/>
  <c r="U17" i="1" s="1"/>
  <c r="N16" i="1"/>
  <c r="U16" i="1" s="1"/>
  <c r="N15" i="1"/>
  <c r="U15" i="1" s="1"/>
  <c r="M20" i="1"/>
  <c r="T20" i="1" s="1"/>
  <c r="L20" i="1"/>
  <c r="S20" i="1" s="1"/>
  <c r="M19" i="1"/>
  <c r="T19" i="1" s="1"/>
  <c r="L19" i="1"/>
  <c r="S19" i="1" s="1"/>
  <c r="M18" i="1"/>
  <c r="T18" i="1" s="1"/>
  <c r="L18" i="1"/>
  <c r="S18" i="1" s="1"/>
  <c r="M17" i="1"/>
  <c r="T17" i="1" s="1"/>
  <c r="L17" i="1"/>
  <c r="S17" i="1" s="1"/>
  <c r="M16" i="1"/>
  <c r="T16" i="1" s="1"/>
  <c r="L16" i="1"/>
  <c r="S16" i="1" s="1"/>
  <c r="M15" i="1"/>
  <c r="T15" i="1" s="1"/>
  <c r="L15" i="1"/>
  <c r="S15" i="1" s="1"/>
  <c r="K20" i="1"/>
  <c r="R20" i="1" s="1"/>
  <c r="J20" i="1"/>
  <c r="Q20" i="1" s="1"/>
  <c r="K19" i="1"/>
  <c r="R19" i="1" s="1"/>
  <c r="J19" i="1"/>
  <c r="Q19" i="1" s="1"/>
  <c r="K18" i="1"/>
  <c r="R18" i="1" s="1"/>
  <c r="J18" i="1"/>
  <c r="Q18" i="1" s="1"/>
  <c r="K17" i="1"/>
  <c r="R17" i="1" s="1"/>
  <c r="J17" i="1"/>
  <c r="Q17" i="1" s="1"/>
  <c r="K16" i="1"/>
  <c r="R16" i="1" s="1"/>
  <c r="J16" i="1"/>
  <c r="Q16" i="1" s="1"/>
  <c r="K15" i="1"/>
  <c r="V15" i="1" s="1"/>
  <c r="J15" i="1"/>
  <c r="Q15" i="1" s="1"/>
  <c r="I20" i="1"/>
  <c r="I19" i="1"/>
  <c r="I18" i="1"/>
  <c r="I17" i="1"/>
  <c r="I16" i="1"/>
  <c r="I15" i="1"/>
  <c r="C20" i="1"/>
  <c r="D20" i="1"/>
  <c r="E20" i="1"/>
  <c r="C19" i="1"/>
  <c r="D19" i="1"/>
  <c r="E19" i="1"/>
  <c r="E17" i="1"/>
  <c r="E18" i="1"/>
  <c r="E16" i="1"/>
  <c r="D17" i="1"/>
  <c r="D18" i="1"/>
  <c r="D16" i="1"/>
  <c r="C16" i="1"/>
  <c r="C17" i="1"/>
  <c r="C18" i="1"/>
  <c r="C15" i="1"/>
  <c r="F15" i="4"/>
  <c r="K15" i="4" s="1"/>
  <c r="E15" i="4"/>
  <c r="F14" i="4"/>
  <c r="K14" i="4" s="1"/>
  <c r="E14" i="4"/>
  <c r="F13" i="4"/>
  <c r="K13" i="4" s="1"/>
  <c r="F12" i="4"/>
  <c r="K12" i="4" s="1"/>
  <c r="H11" i="4"/>
  <c r="F11" i="4"/>
  <c r="K11" i="4" s="1"/>
  <c r="H10" i="4"/>
  <c r="F10" i="4"/>
  <c r="K10" i="4" s="1"/>
  <c r="K9" i="4"/>
  <c r="F9" i="4"/>
  <c r="F8" i="4"/>
  <c r="K8" i="4" s="1"/>
  <c r="H7" i="4"/>
  <c r="F7" i="4"/>
  <c r="K7" i="4" s="1"/>
  <c r="H6" i="4"/>
  <c r="F6" i="4"/>
  <c r="K6" i="4" s="1"/>
  <c r="E5" i="4"/>
  <c r="F5" i="4" s="1"/>
  <c r="K5" i="4" s="1"/>
  <c r="T4" i="4"/>
  <c r="S4" i="4"/>
  <c r="F4" i="4"/>
  <c r="K4" i="4" s="1"/>
  <c r="T3" i="4"/>
  <c r="S3" i="4"/>
  <c r="R3" i="4"/>
  <c r="H3" i="4"/>
  <c r="F3" i="4"/>
  <c r="K3" i="4" s="1"/>
  <c r="F71" i="1"/>
  <c r="K71" i="1" s="1"/>
  <c r="F70" i="1"/>
  <c r="K70" i="1" s="1"/>
  <c r="E70" i="1"/>
  <c r="E71" i="1"/>
  <c r="E59" i="1"/>
  <c r="E15" i="1" s="1"/>
  <c r="Q24" i="1" l="1"/>
  <c r="Q23" i="1"/>
  <c r="S24" i="1"/>
  <c r="S23" i="1"/>
  <c r="T24" i="1"/>
  <c r="T23" i="1"/>
  <c r="I28" i="1"/>
  <c r="R14" i="1"/>
  <c r="I31" i="1"/>
  <c r="I30" i="1"/>
  <c r="J28" i="1"/>
  <c r="J31" i="1"/>
  <c r="J30" i="1"/>
  <c r="R15" i="1"/>
  <c r="H66" i="1"/>
  <c r="R24" i="1" l="1"/>
  <c r="R23" i="1"/>
  <c r="F61" i="1"/>
  <c r="F17" i="1" s="1"/>
  <c r="F65" i="1"/>
  <c r="F20" i="1" s="1"/>
  <c r="F66" i="1"/>
  <c r="F68" i="1"/>
  <c r="K68" i="1" s="1"/>
  <c r="F60" i="1"/>
  <c r="F67" i="1"/>
  <c r="F64" i="1"/>
  <c r="F19" i="1" s="1"/>
  <c r="F59" i="1"/>
  <c r="F15" i="1" s="1"/>
  <c r="F62" i="1"/>
  <c r="F63" i="1"/>
  <c r="F14" i="1" s="1"/>
  <c r="AC19" i="1" l="1"/>
  <c r="AB19" i="1"/>
  <c r="K66" i="1"/>
  <c r="G21" i="1" s="1"/>
  <c r="F21" i="1"/>
  <c r="AB20" i="1"/>
  <c r="AC20" i="1"/>
  <c r="AB17" i="1"/>
  <c r="AB15" i="1"/>
  <c r="AC15" i="1"/>
  <c r="K59" i="1"/>
  <c r="G15" i="1" s="1"/>
  <c r="K62" i="1"/>
  <c r="G18" i="1" s="1"/>
  <c r="F18" i="1"/>
  <c r="K60" i="1"/>
  <c r="G16" i="1" s="1"/>
  <c r="F16" i="1"/>
  <c r="F69" i="1"/>
  <c r="K69" i="1" s="1"/>
  <c r="F79" i="1"/>
  <c r="K79" i="1" s="1"/>
  <c r="K61" i="1"/>
  <c r="G17" i="1" s="1"/>
  <c r="H65" i="1"/>
  <c r="K65" i="1" s="1"/>
  <c r="G20" i="1" s="1"/>
  <c r="Z20" i="1" l="1"/>
  <c r="AA20" i="1"/>
  <c r="Y20" i="1"/>
  <c r="X20" i="1"/>
  <c r="AA18" i="1"/>
  <c r="Z18" i="1"/>
  <c r="Y18" i="1"/>
  <c r="X18" i="1"/>
  <c r="AB21" i="1"/>
  <c r="Z21" i="1"/>
  <c r="Y21" i="1"/>
  <c r="X21" i="1"/>
  <c r="AA21" i="1"/>
  <c r="AA15" i="1"/>
  <c r="Z15" i="1"/>
  <c r="Y15" i="1"/>
  <c r="X15" i="1"/>
  <c r="Z17" i="1"/>
  <c r="Y17" i="1"/>
  <c r="X17" i="1"/>
  <c r="AA16" i="1"/>
  <c r="Z16" i="1"/>
  <c r="Y16" i="1"/>
  <c r="X16" i="1"/>
  <c r="AC16" i="1"/>
  <c r="AB16" i="1"/>
  <c r="H67" i="1"/>
  <c r="K67" i="1" s="1"/>
  <c r="H64" i="1"/>
  <c r="K64" i="1" s="1"/>
  <c r="G19" i="1" s="1"/>
  <c r="T63" i="1"/>
  <c r="O14" i="1" s="1"/>
  <c r="S63" i="1"/>
  <c r="N14" i="1" s="1"/>
  <c r="R63" i="1"/>
  <c r="U14" i="1" l="1"/>
  <c r="AB14" i="1"/>
  <c r="AA19" i="1"/>
  <c r="AA24" i="1" s="1"/>
  <c r="F30" i="1" s="1"/>
  <c r="Z19" i="1"/>
  <c r="Z23" i="1" s="1"/>
  <c r="Y19" i="1"/>
  <c r="E31" i="1" s="1"/>
  <c r="M31" i="1" s="1"/>
  <c r="X19" i="1"/>
  <c r="X23" i="1" s="1"/>
  <c r="F31" i="1"/>
  <c r="F28" i="1"/>
  <c r="V14" i="1"/>
  <c r="K31" i="1"/>
  <c r="K30" i="1"/>
  <c r="K29" i="1"/>
  <c r="K28" i="1"/>
  <c r="AC14" i="1"/>
  <c r="U66" i="2"/>
  <c r="M214" i="2"/>
  <c r="M213" i="2"/>
  <c r="H218" i="2"/>
  <c r="C218" i="2"/>
  <c r="H215" i="2"/>
  <c r="H214" i="2"/>
  <c r="H213" i="2"/>
  <c r="H216" i="2"/>
  <c r="C213" i="2"/>
  <c r="C216" i="2"/>
  <c r="C215" i="2"/>
  <c r="C214" i="2"/>
  <c r="K210" i="2"/>
  <c r="C210" i="2"/>
  <c r="C209" i="2"/>
  <c r="B209" i="2" s="1"/>
  <c r="C205" i="2"/>
  <c r="C206" i="2" s="1"/>
  <c r="C207" i="2" s="1"/>
  <c r="C208" i="2" s="1"/>
  <c r="C204" i="2"/>
  <c r="K209" i="2"/>
  <c r="D196" i="2"/>
  <c r="E196" i="2" s="1"/>
  <c r="F196" i="2" s="1"/>
  <c r="G196" i="2" s="1"/>
  <c r="H196" i="2" s="1"/>
  <c r="I196" i="2" s="1"/>
  <c r="J196" i="2" s="1"/>
  <c r="K196" i="2" s="1"/>
  <c r="C198" i="2"/>
  <c r="D198" i="2"/>
  <c r="E198" i="2"/>
  <c r="F198" i="2" s="1"/>
  <c r="C189" i="2"/>
  <c r="N30" i="1" l="1"/>
  <c r="N28" i="1"/>
  <c r="Y24" i="1"/>
  <c r="E30" i="1" s="1"/>
  <c r="M30" i="1" s="1"/>
  <c r="Z24" i="1"/>
  <c r="E28" i="1"/>
  <c r="M28" i="1" s="1"/>
  <c r="Y23" i="1"/>
  <c r="E29" i="1" s="1"/>
  <c r="M29" i="1" s="1"/>
  <c r="N31" i="1"/>
  <c r="X24" i="1"/>
  <c r="AA23" i="1"/>
  <c r="F29" i="1" s="1"/>
  <c r="G198" i="2"/>
  <c r="N29" i="1" l="1"/>
  <c r="H198" i="2"/>
  <c r="I198" i="2" l="1"/>
  <c r="J198" i="2" l="1"/>
  <c r="K198" i="2" l="1"/>
  <c r="T108" i="2" l="1"/>
  <c r="U108" i="2" s="1"/>
  <c r="T165" i="2"/>
  <c r="U165" i="2"/>
  <c r="S165" i="2"/>
  <c r="U179" i="2"/>
  <c r="T179" i="2"/>
  <c r="S179" i="2"/>
  <c r="T173" i="2"/>
  <c r="U173" i="2"/>
  <c r="S173" i="2"/>
  <c r="U164" i="2"/>
  <c r="T164" i="2"/>
  <c r="T166" i="2" s="1"/>
  <c r="S164" i="2"/>
  <c r="S166" i="2" s="1"/>
  <c r="S167" i="2" s="1"/>
  <c r="C199" i="2" s="1"/>
  <c r="T163" i="2"/>
  <c r="U163" i="2" s="1"/>
  <c r="W44" i="2"/>
  <c r="X44" i="2"/>
  <c r="Y44" i="2"/>
  <c r="Z44" i="2"/>
  <c r="AA44" i="2"/>
  <c r="V44" i="2"/>
  <c r="W42" i="2"/>
  <c r="X42" i="2"/>
  <c r="V42" i="2"/>
  <c r="V39" i="2"/>
  <c r="V38" i="2"/>
  <c r="W38" i="2" s="1"/>
  <c r="X38" i="2" s="1"/>
  <c r="Y38" i="2" s="1"/>
  <c r="Z38" i="2" s="1"/>
  <c r="AA38" i="2" s="1"/>
  <c r="V35" i="2"/>
  <c r="W35" i="2" s="1"/>
  <c r="X35" i="2" s="1"/>
  <c r="Y35" i="2" s="1"/>
  <c r="Z35" i="2" s="1"/>
  <c r="AA35" i="2" s="1"/>
  <c r="V36" i="2"/>
  <c r="W36" i="2" s="1"/>
  <c r="X36" i="2" s="1"/>
  <c r="Y36" i="2" s="1"/>
  <c r="Z36" i="2" s="1"/>
  <c r="AA36" i="2" s="1"/>
  <c r="V34" i="2"/>
  <c r="W34" i="2" s="1"/>
  <c r="X34" i="2" s="1"/>
  <c r="Y20" i="2"/>
  <c r="Z20" i="2"/>
  <c r="AA20" i="2"/>
  <c r="T60" i="2"/>
  <c r="U60" i="2"/>
  <c r="S60" i="2"/>
  <c r="D60" i="2"/>
  <c r="E60" i="2"/>
  <c r="F60" i="2"/>
  <c r="G60" i="2"/>
  <c r="H60" i="2"/>
  <c r="I60" i="2"/>
  <c r="J60" i="2"/>
  <c r="K60" i="2"/>
  <c r="L60" i="2"/>
  <c r="M60" i="2"/>
  <c r="N60" i="2"/>
  <c r="C60" i="2"/>
  <c r="V32" i="2"/>
  <c r="V33" i="2" s="1"/>
  <c r="V15" i="2"/>
  <c r="W15" i="2" s="1"/>
  <c r="X15" i="2" s="1"/>
  <c r="Y15" i="2" s="1"/>
  <c r="Z15" i="2" s="1"/>
  <c r="AA15" i="2" s="1"/>
  <c r="D16" i="2"/>
  <c r="E16" i="2"/>
  <c r="F16" i="2"/>
  <c r="G16" i="2"/>
  <c r="H16" i="2"/>
  <c r="I16" i="2"/>
  <c r="J16" i="2"/>
  <c r="K16" i="2"/>
  <c r="L16" i="2"/>
  <c r="D17" i="2"/>
  <c r="E17" i="2"/>
  <c r="F17" i="2"/>
  <c r="G17" i="2"/>
  <c r="H17" i="2"/>
  <c r="I17" i="2"/>
  <c r="J17" i="2"/>
  <c r="K17" i="2"/>
  <c r="L17" i="2"/>
  <c r="D18" i="2"/>
  <c r="E18" i="2"/>
  <c r="F18" i="2"/>
  <c r="G18" i="2"/>
  <c r="H18" i="2"/>
  <c r="I18" i="2"/>
  <c r="J18" i="2"/>
  <c r="K18" i="2"/>
  <c r="L18" i="2"/>
  <c r="D21" i="2"/>
  <c r="E21" i="2"/>
  <c r="F21" i="2"/>
  <c r="G21" i="2"/>
  <c r="H21" i="2"/>
  <c r="I21" i="2"/>
  <c r="J21" i="2"/>
  <c r="K21" i="2"/>
  <c r="L21" i="2"/>
  <c r="N21" i="2"/>
  <c r="M21" i="2"/>
  <c r="N18" i="2"/>
  <c r="M18" i="2"/>
  <c r="N17" i="2"/>
  <c r="M17" i="2"/>
  <c r="N16" i="2"/>
  <c r="M16" i="2"/>
  <c r="T18" i="2"/>
  <c r="U18" i="2"/>
  <c r="T19" i="2"/>
  <c r="U19" i="2"/>
  <c r="T20" i="2"/>
  <c r="U20" i="2"/>
  <c r="T21" i="2"/>
  <c r="U21" i="2"/>
  <c r="T17" i="2"/>
  <c r="U17" i="2"/>
  <c r="T16" i="2"/>
  <c r="U16" i="2"/>
  <c r="N52" i="2"/>
  <c r="M52" i="2"/>
  <c r="L52" i="2"/>
  <c r="T14" i="2"/>
  <c r="U14" i="2" s="1"/>
  <c r="W14" i="2"/>
  <c r="X14" i="2" s="1"/>
  <c r="Y14" i="2" s="1"/>
  <c r="Z14" i="2" s="1"/>
  <c r="AA14" i="2" s="1"/>
  <c r="O32" i="2"/>
  <c r="O33" i="2" s="1"/>
  <c r="O42" i="2"/>
  <c r="P42" i="2" s="1"/>
  <c r="O34" i="2"/>
  <c r="P34" i="2" s="1"/>
  <c r="Q34" i="2" s="1"/>
  <c r="O35" i="2"/>
  <c r="P35" i="2" s="1"/>
  <c r="Q35" i="2" s="1"/>
  <c r="O38" i="2"/>
  <c r="P38" i="2" s="1"/>
  <c r="Q38" i="2" s="1"/>
  <c r="O39" i="2"/>
  <c r="P39" i="2" s="1"/>
  <c r="Q39" i="2" s="1"/>
  <c r="AA39" i="2" s="1"/>
  <c r="M158" i="2"/>
  <c r="N158" i="2" s="1"/>
  <c r="J158" i="2"/>
  <c r="K158" i="2" s="1"/>
  <c r="G158" i="2"/>
  <c r="H158" i="2" s="1"/>
  <c r="D158" i="2"/>
  <c r="E158" i="2" s="1"/>
  <c r="E156" i="2"/>
  <c r="D156" i="2"/>
  <c r="H156" i="2"/>
  <c r="N144" i="2"/>
  <c r="M156" i="2"/>
  <c r="K156" i="2"/>
  <c r="J156" i="2"/>
  <c r="P130" i="2"/>
  <c r="N37" i="2"/>
  <c r="O37" i="2" s="1"/>
  <c r="P37" i="2" s="1"/>
  <c r="Q37" i="2" s="1"/>
  <c r="N36" i="2"/>
  <c r="O36" i="2" s="1"/>
  <c r="P36" i="2" s="1"/>
  <c r="Q36" i="2" s="1"/>
  <c r="M37" i="2"/>
  <c r="M36" i="2"/>
  <c r="L37" i="2"/>
  <c r="L36" i="2"/>
  <c r="K37" i="2"/>
  <c r="K36" i="2"/>
  <c r="J37" i="2"/>
  <c r="J36" i="2"/>
  <c r="I37" i="2"/>
  <c r="I36" i="2"/>
  <c r="C37" i="2"/>
  <c r="C36" i="2"/>
  <c r="G37" i="2"/>
  <c r="G36" i="2"/>
  <c r="D37" i="2"/>
  <c r="D36" i="2"/>
  <c r="E37" i="2"/>
  <c r="E36" i="2"/>
  <c r="H37" i="2"/>
  <c r="H36" i="2"/>
  <c r="H121" i="2"/>
  <c r="H122" i="2"/>
  <c r="H119" i="2"/>
  <c r="C7" i="2"/>
  <c r="G62" i="2"/>
  <c r="F62" i="2"/>
  <c r="E62" i="2"/>
  <c r="D62" i="2"/>
  <c r="C62" i="2"/>
  <c r="H53" i="2"/>
  <c r="G53" i="2"/>
  <c r="F53" i="2"/>
  <c r="E53" i="2"/>
  <c r="D53" i="2"/>
  <c r="H52" i="2"/>
  <c r="G52" i="2"/>
  <c r="F52" i="2"/>
  <c r="E52" i="2"/>
  <c r="D52" i="2"/>
  <c r="D141" i="2"/>
  <c r="E141" i="2" s="1"/>
  <c r="D139" i="2"/>
  <c r="E139" i="2" s="1"/>
  <c r="D138" i="2"/>
  <c r="E138" i="2" s="1"/>
  <c r="D137" i="2"/>
  <c r="E137" i="2" s="1"/>
  <c r="D136" i="2"/>
  <c r="E136" i="2" s="1"/>
  <c r="D135" i="2"/>
  <c r="E135" i="2" s="1"/>
  <c r="D134" i="2"/>
  <c r="E134" i="2" s="1"/>
  <c r="D129" i="2"/>
  <c r="E129" i="2" s="1"/>
  <c r="D125" i="2"/>
  <c r="E125" i="2" s="1"/>
  <c r="D128" i="2"/>
  <c r="E128" i="2" s="1"/>
  <c r="D124" i="2"/>
  <c r="E124" i="2" s="1"/>
  <c r="D120" i="2"/>
  <c r="E120" i="2" s="1"/>
  <c r="D116" i="2"/>
  <c r="E116" i="2" s="1"/>
  <c r="D115" i="2"/>
  <c r="E115" i="2" s="1"/>
  <c r="D114" i="2"/>
  <c r="E114" i="2" s="1"/>
  <c r="D113" i="2"/>
  <c r="E113" i="2" s="1"/>
  <c r="D112" i="2"/>
  <c r="E112" i="2" s="1"/>
  <c r="D110" i="2"/>
  <c r="G154" i="2"/>
  <c r="G153" i="2"/>
  <c r="G152" i="2"/>
  <c r="G151" i="2"/>
  <c r="G150" i="2"/>
  <c r="G149" i="2"/>
  <c r="G148" i="2"/>
  <c r="G143" i="2"/>
  <c r="G142" i="2"/>
  <c r="G141" i="2"/>
  <c r="G139" i="2"/>
  <c r="G138" i="2"/>
  <c r="G137" i="2"/>
  <c r="G136" i="2"/>
  <c r="G135" i="2"/>
  <c r="G134" i="2"/>
  <c r="G129" i="2"/>
  <c r="H129" i="2" s="1"/>
  <c r="G125" i="2"/>
  <c r="H125" i="2" s="1"/>
  <c r="G128" i="2"/>
  <c r="H128" i="2" s="1"/>
  <c r="G124" i="2"/>
  <c r="H124" i="2" s="1"/>
  <c r="G120" i="2"/>
  <c r="H120" i="2" s="1"/>
  <c r="G116" i="2"/>
  <c r="H116" i="2" s="1"/>
  <c r="G115" i="2"/>
  <c r="H115" i="2" s="1"/>
  <c r="G114" i="2"/>
  <c r="H114" i="2" s="1"/>
  <c r="G113" i="2"/>
  <c r="H113" i="2" s="1"/>
  <c r="G112" i="2"/>
  <c r="H112" i="2" s="1"/>
  <c r="F37" i="2"/>
  <c r="F36" i="2"/>
  <c r="F110" i="2"/>
  <c r="H110" i="2" s="1"/>
  <c r="Q156" i="2"/>
  <c r="P156" i="2"/>
  <c r="O156" i="2"/>
  <c r="N156" i="2"/>
  <c r="L156" i="2"/>
  <c r="I156" i="2"/>
  <c r="F156" i="2"/>
  <c r="C156" i="2"/>
  <c r="Q144" i="2"/>
  <c r="P144" i="2"/>
  <c r="O144" i="2"/>
  <c r="M144" i="2"/>
  <c r="L144" i="2"/>
  <c r="J144" i="2"/>
  <c r="I144" i="2"/>
  <c r="F144" i="2"/>
  <c r="C144" i="2"/>
  <c r="Q130" i="2"/>
  <c r="U110" i="2"/>
  <c r="T110" i="2"/>
  <c r="S110" i="2"/>
  <c r="S62" i="2"/>
  <c r="C10" i="2" l="1"/>
  <c r="C193" i="2"/>
  <c r="U166" i="2"/>
  <c r="T167" i="2"/>
  <c r="D199" i="2" s="1"/>
  <c r="K19" i="2"/>
  <c r="Q42" i="2"/>
  <c r="AA42" i="2" s="1"/>
  <c r="Z42" i="2"/>
  <c r="Y42" i="2"/>
  <c r="Z39" i="2"/>
  <c r="Y39" i="2"/>
  <c r="D19" i="2"/>
  <c r="X39" i="2"/>
  <c r="W39" i="2"/>
  <c r="F19" i="2"/>
  <c r="F20" i="2"/>
  <c r="Y34" i="2"/>
  <c r="L20" i="2"/>
  <c r="E19" i="2"/>
  <c r="G20" i="2"/>
  <c r="J20" i="2"/>
  <c r="K20" i="2"/>
  <c r="H19" i="2"/>
  <c r="H20" i="2"/>
  <c r="L19" i="2"/>
  <c r="M19" i="2"/>
  <c r="M20" i="2"/>
  <c r="D20" i="2"/>
  <c r="G19" i="2"/>
  <c r="I19" i="2"/>
  <c r="I20" i="2"/>
  <c r="J19" i="2"/>
  <c r="N20" i="2"/>
  <c r="X20" i="2" s="1"/>
  <c r="E20" i="2"/>
  <c r="N19" i="2"/>
  <c r="F40" i="2"/>
  <c r="F41" i="2" s="1"/>
  <c r="F58" i="2" s="1"/>
  <c r="P32" i="2"/>
  <c r="P33" i="2" s="1"/>
  <c r="P40" i="2" s="1"/>
  <c r="P41" i="2" s="1"/>
  <c r="P43" i="2" s="1"/>
  <c r="C40" i="2"/>
  <c r="C41" i="2" s="1"/>
  <c r="C43" i="2" s="1"/>
  <c r="C45" i="2" s="1"/>
  <c r="C59" i="2" s="1"/>
  <c r="D54" i="2"/>
  <c r="H54" i="2"/>
  <c r="H55" i="2"/>
  <c r="D40" i="2"/>
  <c r="D41" i="2" s="1"/>
  <c r="D43" i="2" s="1"/>
  <c r="D45" i="2" s="1"/>
  <c r="D48" i="2" s="1"/>
  <c r="G40" i="2"/>
  <c r="G41" i="2" s="1"/>
  <c r="G43" i="2" s="1"/>
  <c r="G45" i="2" s="1"/>
  <c r="G48" i="2" s="1"/>
  <c r="G54" i="2"/>
  <c r="F55" i="2"/>
  <c r="D55" i="2"/>
  <c r="E54" i="2"/>
  <c r="E55" i="2"/>
  <c r="K144" i="2"/>
  <c r="E40" i="2"/>
  <c r="E41" i="2" s="1"/>
  <c r="E43" i="2" s="1"/>
  <c r="E45" i="2" s="1"/>
  <c r="E48" i="2" s="1"/>
  <c r="O40" i="2"/>
  <c r="O41" i="2" s="1"/>
  <c r="O43" i="2" s="1"/>
  <c r="G55" i="2"/>
  <c r="W32" i="2"/>
  <c r="X32" i="2" s="1"/>
  <c r="Y32" i="2" s="1"/>
  <c r="G144" i="2"/>
  <c r="F54" i="2"/>
  <c r="H130" i="2"/>
  <c r="Q159" i="2"/>
  <c r="P159" i="2"/>
  <c r="D144" i="2"/>
  <c r="E144" i="2"/>
  <c r="G156" i="2"/>
  <c r="T156" i="2"/>
  <c r="S156" i="2"/>
  <c r="U156" i="2"/>
  <c r="T144" i="2"/>
  <c r="S144" i="2"/>
  <c r="U144" i="2"/>
  <c r="U102" i="2"/>
  <c r="T102" i="2"/>
  <c r="U92" i="2"/>
  <c r="U96" i="2" s="1"/>
  <c r="T92" i="2"/>
  <c r="T96" i="2" s="1"/>
  <c r="U78" i="2"/>
  <c r="U85" i="2" s="1"/>
  <c r="T78" i="2"/>
  <c r="T85" i="2" s="1"/>
  <c r="T69" i="2"/>
  <c r="U69" i="2" s="1"/>
  <c r="C186" i="2" l="1"/>
  <c r="C187" i="2"/>
  <c r="U167" i="2"/>
  <c r="E199" i="2" s="1"/>
  <c r="W20" i="2"/>
  <c r="V20" i="2"/>
  <c r="V37" i="2" s="1"/>
  <c r="P44" i="2"/>
  <c r="P45" i="2" s="1"/>
  <c r="Z34" i="2"/>
  <c r="F43" i="2"/>
  <c r="F45" i="2" s="1"/>
  <c r="Q32" i="2"/>
  <c r="C48" i="2"/>
  <c r="C63" i="2"/>
  <c r="C58" i="2"/>
  <c r="D63" i="2"/>
  <c r="D58" i="2"/>
  <c r="C109" i="2"/>
  <c r="C130" i="2" s="1"/>
  <c r="C159" i="2" s="1"/>
  <c r="D109" i="2"/>
  <c r="D130" i="2" s="1"/>
  <c r="D159" i="2" s="1"/>
  <c r="D56" i="2"/>
  <c r="G109" i="2"/>
  <c r="G58" i="2"/>
  <c r="G59" i="2"/>
  <c r="D59" i="2"/>
  <c r="G63" i="2"/>
  <c r="E63" i="2"/>
  <c r="E58" i="2"/>
  <c r="W33" i="2"/>
  <c r="E56" i="2"/>
  <c r="X33" i="2"/>
  <c r="E59" i="2"/>
  <c r="E109" i="2"/>
  <c r="E130" i="2" s="1"/>
  <c r="E159" i="2" s="1"/>
  <c r="O44" i="2"/>
  <c r="O45" i="2" s="1"/>
  <c r="O109" i="2" s="1"/>
  <c r="O130" i="2" s="1"/>
  <c r="Z32" i="2"/>
  <c r="Y33" i="2"/>
  <c r="T103" i="2"/>
  <c r="T105" i="2" s="1"/>
  <c r="U103" i="2"/>
  <c r="U105" i="2" s="1"/>
  <c r="H63" i="1"/>
  <c r="K63" i="1" l="1"/>
  <c r="G14" i="1" s="1"/>
  <c r="R28" i="1"/>
  <c r="R31" i="1"/>
  <c r="R30" i="1"/>
  <c r="R29" i="1"/>
  <c r="F63" i="2"/>
  <c r="W37" i="2"/>
  <c r="X37" i="2" s="1"/>
  <c r="Y37" i="2" s="1"/>
  <c r="Z37" i="2" s="1"/>
  <c r="AA37" i="2" s="1"/>
  <c r="V40" i="2"/>
  <c r="V41" i="2" s="1"/>
  <c r="AA34" i="2"/>
  <c r="Q33" i="2"/>
  <c r="Q40" i="2" s="1"/>
  <c r="Q41" i="2" s="1"/>
  <c r="Q43" i="2" s="1"/>
  <c r="AA32" i="2"/>
  <c r="AA33" i="2" s="1"/>
  <c r="Z33" i="2"/>
  <c r="Z40" i="2" s="1"/>
  <c r="Z41" i="2" s="1"/>
  <c r="F56" i="2"/>
  <c r="G56" i="2"/>
  <c r="F59" i="2"/>
  <c r="F48" i="2"/>
  <c r="F109" i="2"/>
  <c r="F130" i="2" s="1"/>
  <c r="F159" i="2" s="1"/>
  <c r="T52" i="2"/>
  <c r="H62" i="2"/>
  <c r="I55" i="2"/>
  <c r="I54" i="2"/>
  <c r="I53" i="2"/>
  <c r="I52" i="2"/>
  <c r="H40" i="2"/>
  <c r="H41" i="2" s="1"/>
  <c r="H58" i="2" s="1"/>
  <c r="N62" i="2"/>
  <c r="M62" i="2"/>
  <c r="L62" i="2"/>
  <c r="K62" i="2"/>
  <c r="J62" i="2"/>
  <c r="I62" i="2"/>
  <c r="T62" i="2"/>
  <c r="U62" i="2"/>
  <c r="J52" i="2"/>
  <c r="K52" i="2"/>
  <c r="J53" i="2"/>
  <c r="K53" i="2"/>
  <c r="L53" i="2"/>
  <c r="J54" i="2"/>
  <c r="K54" i="2"/>
  <c r="L54" i="2"/>
  <c r="J55" i="2"/>
  <c r="K55" i="2"/>
  <c r="L55" i="2"/>
  <c r="N55" i="2"/>
  <c r="M55" i="2"/>
  <c r="N54" i="2"/>
  <c r="M54" i="2"/>
  <c r="N53" i="2"/>
  <c r="M53" i="2"/>
  <c r="T55" i="2"/>
  <c r="U55" i="2"/>
  <c r="T54" i="2"/>
  <c r="U54" i="2"/>
  <c r="T53" i="2"/>
  <c r="U53" i="2"/>
  <c r="U52" i="2"/>
  <c r="N40" i="2"/>
  <c r="N41" i="2" s="1"/>
  <c r="N43" i="2" s="1"/>
  <c r="N45" i="2" s="1"/>
  <c r="N109" i="2" s="1"/>
  <c r="N130" i="2" s="1"/>
  <c r="N159" i="2" s="1"/>
  <c r="M40" i="2"/>
  <c r="M41" i="2" s="1"/>
  <c r="M43" i="2" s="1"/>
  <c r="M45" i="2" s="1"/>
  <c r="M109" i="2" s="1"/>
  <c r="M130" i="2" s="1"/>
  <c r="M159" i="2" s="1"/>
  <c r="L40" i="2"/>
  <c r="L41" i="2" s="1"/>
  <c r="L43" i="2" s="1"/>
  <c r="L45" i="2" s="1"/>
  <c r="L109" i="2" s="1"/>
  <c r="L130" i="2" s="1"/>
  <c r="L159" i="2" s="1"/>
  <c r="K40" i="2"/>
  <c r="K41" i="2" s="1"/>
  <c r="K43" i="2" s="1"/>
  <c r="K63" i="2" s="1"/>
  <c r="J40" i="2"/>
  <c r="J41" i="2" s="1"/>
  <c r="J43" i="2" s="1"/>
  <c r="J45" i="2" s="1"/>
  <c r="J109" i="2" s="1"/>
  <c r="J130" i="2" s="1"/>
  <c r="J159" i="2" s="1"/>
  <c r="I40" i="2"/>
  <c r="I41" i="2" s="1"/>
  <c r="I43" i="2" s="1"/>
  <c r="I45" i="2" s="1"/>
  <c r="I109" i="2" s="1"/>
  <c r="I130" i="2" s="1"/>
  <c r="I159" i="2" s="1"/>
  <c r="S40" i="2"/>
  <c r="S41" i="2" s="1"/>
  <c r="C197" i="2" s="1"/>
  <c r="C200" i="2" s="1"/>
  <c r="U40" i="2"/>
  <c r="U41" i="2" s="1"/>
  <c r="T40" i="2"/>
  <c r="T41" i="2" s="1"/>
  <c r="T31" i="2"/>
  <c r="U31" i="2" s="1"/>
  <c r="V31" i="2" s="1"/>
  <c r="W31" i="2" s="1"/>
  <c r="X31" i="2" s="1"/>
  <c r="Y31" i="2" s="1"/>
  <c r="Z31" i="2" s="1"/>
  <c r="AA31" i="2" s="1"/>
  <c r="U29" i="1" l="1"/>
  <c r="Y29" i="1" s="1"/>
  <c r="V29" i="1"/>
  <c r="Z29" i="1" s="1"/>
  <c r="V30" i="1"/>
  <c r="Z30" i="1" s="1"/>
  <c r="U30" i="1"/>
  <c r="Y30" i="1" s="1"/>
  <c r="U31" i="1"/>
  <c r="Y31" i="1" s="1"/>
  <c r="V31" i="1"/>
  <c r="Z31" i="1" s="1"/>
  <c r="V28" i="1"/>
  <c r="Z28" i="1" s="1"/>
  <c r="U28" i="1"/>
  <c r="Y28" i="1" s="1"/>
  <c r="Z14" i="1"/>
  <c r="AA14" i="1"/>
  <c r="Y14" i="1"/>
  <c r="X14" i="1"/>
  <c r="Z43" i="2"/>
  <c r="Z45" i="2" s="1"/>
  <c r="J197" i="2"/>
  <c r="J200" i="2" s="1"/>
  <c r="J207" i="2" s="1"/>
  <c r="T43" i="2"/>
  <c r="D197" i="2"/>
  <c r="D200" i="2" s="1"/>
  <c r="U43" i="2"/>
  <c r="U63" i="2" s="1"/>
  <c r="E197" i="2"/>
  <c r="E200" i="2" s="1"/>
  <c r="C192" i="2"/>
  <c r="V43" i="2"/>
  <c r="V45" i="2" s="1"/>
  <c r="F197" i="2"/>
  <c r="F200" i="2" s="1"/>
  <c r="F203" i="2" s="1"/>
  <c r="W40" i="2"/>
  <c r="W41" i="2" s="1"/>
  <c r="AA40" i="2"/>
  <c r="AA41" i="2" s="1"/>
  <c r="X40" i="2"/>
  <c r="X41" i="2" s="1"/>
  <c r="Y40" i="2"/>
  <c r="Y41" i="2" s="1"/>
  <c r="Q44" i="2"/>
  <c r="Q45" i="2" s="1"/>
  <c r="M56" i="2"/>
  <c r="J56" i="2"/>
  <c r="N56" i="2"/>
  <c r="V52" i="2"/>
  <c r="M59" i="2"/>
  <c r="L59" i="2"/>
  <c r="N59" i="2"/>
  <c r="S43" i="2"/>
  <c r="S58" i="2"/>
  <c r="T45" i="2"/>
  <c r="U45" i="2"/>
  <c r="H43" i="2"/>
  <c r="K58" i="2"/>
  <c r="L58" i="2"/>
  <c r="M58" i="2"/>
  <c r="N58" i="2"/>
  <c r="U58" i="2"/>
  <c r="T58" i="2"/>
  <c r="T63" i="2"/>
  <c r="T65" i="2" s="1"/>
  <c r="I59" i="2"/>
  <c r="J59" i="2"/>
  <c r="I63" i="2"/>
  <c r="J63" i="2"/>
  <c r="L63" i="2"/>
  <c r="I58" i="2"/>
  <c r="M63" i="2"/>
  <c r="J58" i="2"/>
  <c r="N63" i="2"/>
  <c r="K45" i="2"/>
  <c r="Y43" i="2" l="1"/>
  <c r="Y45" i="2" s="1"/>
  <c r="I197" i="2"/>
  <c r="I200" i="2" s="1"/>
  <c r="I206" i="2" s="1"/>
  <c r="W43" i="2"/>
  <c r="W45" i="2" s="1"/>
  <c r="G197" i="2"/>
  <c r="G200" i="2" s="1"/>
  <c r="G204" i="2" s="1"/>
  <c r="AA43" i="2"/>
  <c r="AA45" i="2" s="1"/>
  <c r="K197" i="2"/>
  <c r="X43" i="2"/>
  <c r="X45" i="2" s="1"/>
  <c r="H197" i="2"/>
  <c r="H200" i="2" s="1"/>
  <c r="H205" i="2" s="1"/>
  <c r="U65" i="2"/>
  <c r="C185" i="2"/>
  <c r="C190" i="2" s="1"/>
  <c r="C203" i="2" s="1"/>
  <c r="L56" i="2"/>
  <c r="K109" i="2"/>
  <c r="K130" i="2" s="1"/>
  <c r="K159" i="2" s="1"/>
  <c r="K56" i="2"/>
  <c r="U48" i="2"/>
  <c r="U56" i="2"/>
  <c r="U109" i="2"/>
  <c r="U130" i="2" s="1"/>
  <c r="U159" i="2" s="1"/>
  <c r="S62" i="1"/>
  <c r="N18" i="1" s="1"/>
  <c r="U59" i="2"/>
  <c r="V56" i="2" s="1"/>
  <c r="T109" i="2"/>
  <c r="T130" i="2" s="1"/>
  <c r="T159" i="2" s="1"/>
  <c r="T59" i="2"/>
  <c r="T62" i="1"/>
  <c r="O18" i="1" s="1"/>
  <c r="S45" i="2"/>
  <c r="S63" i="2"/>
  <c r="H63" i="2"/>
  <c r="H45" i="2"/>
  <c r="H109" i="2" s="1"/>
  <c r="K59" i="2"/>
  <c r="V18" i="1" l="1"/>
  <c r="AC18" i="1"/>
  <c r="U18" i="1"/>
  <c r="AB18" i="1"/>
  <c r="B203" i="2"/>
  <c r="Q198" i="2"/>
  <c r="K200" i="2"/>
  <c r="K208" i="2" s="1"/>
  <c r="T56" i="2"/>
  <c r="H59" i="2"/>
  <c r="H56" i="2"/>
  <c r="I56" i="2"/>
  <c r="S109" i="2"/>
  <c r="S130" i="2" s="1"/>
  <c r="S159" i="2" s="1"/>
  <c r="S59" i="2"/>
  <c r="AB24" i="1" l="1"/>
  <c r="AB23" i="1"/>
  <c r="U24" i="1"/>
  <c r="U23" i="1"/>
  <c r="G31" i="1"/>
  <c r="W31" i="1" s="1"/>
  <c r="AA31" i="1" s="1"/>
  <c r="AC23" i="1"/>
  <c r="G29" i="1" s="1"/>
  <c r="W29" i="1" s="1"/>
  <c r="AA29" i="1" s="1"/>
  <c r="G28" i="1"/>
  <c r="W28" i="1" s="1"/>
  <c r="AA28" i="1" s="1"/>
  <c r="AC24" i="1"/>
  <c r="G30" i="1" s="1"/>
  <c r="W30" i="1" s="1"/>
  <c r="AA30" i="1" s="1"/>
  <c r="V24" i="1"/>
  <c r="V23" i="1"/>
  <c r="B204" i="2"/>
  <c r="G130" i="2"/>
  <c r="G159" i="2" s="1"/>
  <c r="B205" i="2" l="1"/>
  <c r="H144" i="2"/>
  <c r="H159" i="2" s="1"/>
  <c r="B206" i="2" l="1"/>
  <c r="B207" i="2" l="1"/>
  <c r="B208" i="2" l="1"/>
  <c r="B210"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Johann</author>
  </authors>
  <commentList>
    <comment ref="B71" authorId="0" shapeId="0" xr:uid="{AC319DC7-F8A2-45EF-8744-ECD80EE8A56F}">
      <text>
        <r>
          <rPr>
            <b/>
            <sz val="9"/>
            <color indexed="81"/>
            <rFont val="Tahoma"/>
            <family val="2"/>
          </rPr>
          <t>Johann:</t>
        </r>
        <r>
          <rPr>
            <sz val="9"/>
            <color indexed="81"/>
            <rFont val="Tahoma"/>
            <family val="2"/>
          </rPr>
          <t xml:space="preserve">
10-K records states up to 9months ending on September 30,2025.
IPO was released April 2025.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Johann</author>
  </authors>
  <commentList>
    <comment ref="B14" authorId="0" shapeId="0" xr:uid="{AD1B20F3-9F80-480F-A650-D9F8B40A8B99}">
      <text>
        <r>
          <rPr>
            <b/>
            <sz val="9"/>
            <color indexed="81"/>
            <rFont val="Tahoma"/>
            <family val="2"/>
          </rPr>
          <t>Johann:</t>
        </r>
        <r>
          <rPr>
            <sz val="9"/>
            <color indexed="81"/>
            <rFont val="Tahoma"/>
            <family val="2"/>
          </rPr>
          <t xml:space="preserve">
10-K records states up to 9months ending on September 30,2025.
IPO was released April 2025.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Johann</author>
  </authors>
  <commentList>
    <comment ref="B15" authorId="0" shapeId="0" xr:uid="{94885855-F8A0-1841-94DB-2AC6DD503B56}">
      <text>
        <r>
          <rPr>
            <b/>
            <sz val="9"/>
            <color rgb="FF000000"/>
            <rFont val="Tahoma"/>
            <family val="2"/>
          </rPr>
          <t>Johann:</t>
        </r>
        <r>
          <rPr>
            <sz val="9"/>
            <color rgb="FF000000"/>
            <rFont val="Tahoma"/>
            <family val="2"/>
          </rPr>
          <t xml:space="preserve">
</t>
        </r>
        <r>
          <rPr>
            <sz val="9"/>
            <color rgb="FF000000"/>
            <rFont val="Tahoma"/>
            <family val="2"/>
          </rPr>
          <t xml:space="preserve">In 2024, we processed $1.68 trillion of total payment volume (“TPV”)
</t>
        </r>
        <r>
          <rPr>
            <sz val="9"/>
            <color rgb="FF000000"/>
            <rFont val="Tahoma"/>
            <family val="2"/>
          </rPr>
          <t xml:space="preserve">
</t>
        </r>
        <r>
          <rPr>
            <sz val="9"/>
            <color rgb="FF000000"/>
            <rFont val="Tahoma"/>
            <family val="2"/>
          </rPr>
          <t xml:space="preserve">TPV is the value of payments, net of payment reversals, successfully completed on our payments platform or enabled by PayPal via a partner payment solution,
</t>
        </r>
        <r>
          <rPr>
            <sz val="9"/>
            <color rgb="FF000000"/>
            <rFont val="Tahoma"/>
            <family val="2"/>
          </rPr>
          <t xml:space="preserve">not including gateway-exclusive transactions.
</t>
        </r>
        <r>
          <rPr>
            <sz val="9"/>
            <color rgb="FF000000"/>
            <rFont val="Tahoma"/>
            <family val="2"/>
          </rPr>
          <t xml:space="preserve">
</t>
        </r>
        <r>
          <rPr>
            <sz val="9"/>
            <color rgb="FF000000"/>
            <rFont val="Tahoma"/>
            <family val="2"/>
          </rPr>
          <t xml:space="preserve">Number of payment transactions is the total number of payments, net of payment reversals, successfully completed on our payments platform or enabled by
</t>
        </r>
        <r>
          <rPr>
            <sz val="9"/>
            <color rgb="FF000000"/>
            <rFont val="Tahoma"/>
            <family val="2"/>
          </rPr>
          <t xml:space="preserve">PayPal via a partner payment solution, not including gateway-exclusive transactions.
</t>
        </r>
      </text>
    </comment>
    <comment ref="B16" authorId="0" shapeId="0" xr:uid="{A7D6C36A-2CE3-4C7A-A31C-1A08AA01396D}">
      <text>
        <r>
          <rPr>
            <b/>
            <sz val="9"/>
            <color indexed="81"/>
            <rFont val="Tahoma"/>
            <family val="2"/>
          </rPr>
          <t>Johann:</t>
        </r>
        <r>
          <rPr>
            <sz val="9"/>
            <color indexed="81"/>
            <rFont val="Tahoma"/>
            <family val="2"/>
          </rPr>
          <t xml:space="preserve">
In 2024, we processed $1.68 trillion of total payment volume (“TPV”)
TPV is the value of payments, net of payment reversals, successfully completed on our payments platform or enabled by PayPal via a partner payment solution,
not including gateway-exclusive transactions.
Number of payment transactions is the total number of payments, net of payment reversals, successfully completed on our payments platform or enabled by
PayPal via a partner payment solution, not including gateway-exclusive transactions.
</t>
        </r>
      </text>
    </comment>
    <comment ref="V16" authorId="0" shapeId="0" xr:uid="{82174963-23AD-44AC-A4E0-BA26B905D9FC}">
      <text>
        <r>
          <rPr>
            <b/>
            <sz val="9"/>
            <color indexed="81"/>
            <rFont val="Tahoma"/>
            <family val="2"/>
          </rPr>
          <t>Johann:</t>
        </r>
        <r>
          <rPr>
            <sz val="9"/>
            <color indexed="81"/>
            <rFont val="Tahoma"/>
            <family val="2"/>
          </rPr>
          <t xml:space="preserve">
Based on 2025 Q3 Earnings Call, "We are on
pace for 6% to 7% growth (referring to transaction margin) in 2025, compared to negative growth just two years ago.</t>
        </r>
      </text>
    </comment>
    <comment ref="B17" authorId="0" shapeId="0" xr:uid="{5EDCFEDF-3AFC-40B4-A8A0-8FF792346138}">
      <text>
        <r>
          <rPr>
            <b/>
            <sz val="9"/>
            <color indexed="81"/>
            <rFont val="Tahoma"/>
            <family val="2"/>
          </rPr>
          <t>Johann:</t>
        </r>
        <r>
          <rPr>
            <sz val="9"/>
            <color indexed="81"/>
            <rFont val="Tahoma"/>
            <family val="2"/>
          </rPr>
          <t xml:space="preserve">
Transaction losses include the expense associated with our customer protection programs, fraud, and chargebacks. </t>
        </r>
      </text>
    </comment>
    <comment ref="B32" authorId="0" shapeId="0" xr:uid="{D072634C-1624-4CCC-8070-3144808FF21A}">
      <text>
        <r>
          <rPr>
            <b/>
            <sz val="9"/>
            <color indexed="81"/>
            <rFont val="Tahoma"/>
            <family val="2"/>
          </rPr>
          <t>Johann:</t>
        </r>
        <r>
          <rPr>
            <sz val="9"/>
            <color indexed="81"/>
            <rFont val="Tahoma"/>
            <family val="2"/>
          </rPr>
          <t xml:space="preserve">
In 2024, we processed $1.68 trillion of total payment volume (“TPV”)
TPV is the value of payments, net of payment reversals, successfully completed on our payments platform or enabled by PayPal via a partner payment solution,
not including gateway-exclusive transactions.
Number of payment transactions is the total number of payments, net of payment reversals, successfully completed on our payments platform or enabled by
PayPal via a partner payment solution, not including gateway-exclusive transactions.
</t>
        </r>
      </text>
    </comment>
    <comment ref="B33" authorId="0" shapeId="0" xr:uid="{28619F16-CEF3-461E-8610-097B1C6A8769}">
      <text>
        <r>
          <rPr>
            <b/>
            <sz val="9"/>
            <color indexed="81"/>
            <rFont val="Tahoma"/>
            <family val="2"/>
          </rPr>
          <t>Johann:</t>
        </r>
        <r>
          <rPr>
            <sz val="9"/>
            <color indexed="81"/>
            <rFont val="Tahoma"/>
            <family val="2"/>
          </rPr>
          <t xml:space="preserve">
Transaction expense is primarily composed of the costs we incur to accept a customer’s funding source of payment.
Costs include: 
-Fees paid to payment processors and other financial institutions when the Company draws funds from a customer’s credit or debit card, bank account, or other funding source they have stored
in their digital wallet
"The cost of funding a transaction with a credit or debit card is generally higher than the cost of funding a transaction from a bank or through internal sources such as a PayPal or Venmo account balance or our consumer credit products. " (10-K SEC PAYPAL)</t>
        </r>
      </text>
    </comment>
    <comment ref="B34" authorId="0" shapeId="0" xr:uid="{56945DE7-5647-4D13-B317-CDC34515247D}">
      <text>
        <r>
          <rPr>
            <b/>
            <sz val="9"/>
            <color indexed="81"/>
            <rFont val="Tahoma"/>
            <family val="2"/>
          </rPr>
          <t>Johann:</t>
        </r>
        <r>
          <rPr>
            <sz val="9"/>
            <color indexed="81"/>
            <rFont val="Tahoma"/>
            <family val="2"/>
          </rPr>
          <t xml:space="preserve">
Transaction losses include the expense associated with our customer protection programs, fraud, and chargebacks. </t>
        </r>
      </text>
    </comment>
    <comment ref="B76" authorId="0" shapeId="0" xr:uid="{BDD05052-F051-431F-B68B-0227076666AD}">
      <text>
        <r>
          <rPr>
            <b/>
            <sz val="9"/>
            <color indexed="81"/>
            <rFont val="Tahoma"/>
            <family val="2"/>
          </rPr>
          <t>Johann:</t>
        </r>
        <r>
          <rPr>
            <sz val="9"/>
            <color indexed="81"/>
            <rFont val="Tahoma"/>
            <family val="2"/>
          </rPr>
          <t xml:space="preserve">
Funds receivable and funds payable arise due to the time required to initiate collection from and clear transactions through external payment networks. When customers fund their PayPal account using their bank account, credit card, or debit card, or withdraw funds from their PayPal account to their bank account or through a debit card transaction, there is a clearing period before the cash is received or settled, usually one to three business days for U.S. transactions and generally up to five business days for international transactions. In addition, a portion of our customers’ funds are settled directly to their bank account.</t>
        </r>
      </text>
    </comment>
    <comment ref="B77" authorId="0" shapeId="0" xr:uid="{5F908CDE-4AA5-4EE5-B829-87294B7A3A09}">
      <text>
        <r>
          <rPr>
            <b/>
            <sz val="9"/>
            <color indexed="81"/>
            <rFont val="Tahoma"/>
            <family val="2"/>
          </rPr>
          <t>Johann:</t>
        </r>
        <r>
          <rPr>
            <sz val="9"/>
            <color indexed="81"/>
            <rFont val="Tahoma"/>
            <family val="2"/>
          </rPr>
          <t xml:space="preserve">
Safeguarding asset for cryptocurrencies such as Bitcoin, Etherum, Litecoin, Bitcoin Cash, and Paypal USD stable coin. Paypal  allows customers in certain markets to buy, hold, sell, convert, receive, and send certain cryptocurrencies as well as use the proceeds from sales of cryptocurrencies to pay for purchases at checkout.</t>
        </r>
      </text>
    </comment>
  </commentList>
</comments>
</file>

<file path=xl/sharedStrings.xml><?xml version="1.0" encoding="utf-8"?>
<sst xmlns="http://schemas.openxmlformats.org/spreadsheetml/2006/main" count="642" uniqueCount="383">
  <si>
    <t>Company</t>
  </si>
  <si>
    <t>Ticket</t>
  </si>
  <si>
    <t>Price</t>
  </si>
  <si>
    <t>Market CAP</t>
  </si>
  <si>
    <t>Paypal</t>
  </si>
  <si>
    <t>PYPL</t>
  </si>
  <si>
    <t>Shopify</t>
  </si>
  <si>
    <t>SHOP</t>
  </si>
  <si>
    <t>Fiserv</t>
  </si>
  <si>
    <t>FISV</t>
  </si>
  <si>
    <t>Global Payments</t>
  </si>
  <si>
    <t>GPN</t>
  </si>
  <si>
    <t>Intuit</t>
  </si>
  <si>
    <t>INTU</t>
  </si>
  <si>
    <t>Toast</t>
  </si>
  <si>
    <t>TOST</t>
  </si>
  <si>
    <t>Affirm</t>
  </si>
  <si>
    <t>AFRM</t>
  </si>
  <si>
    <t>Sofi</t>
  </si>
  <si>
    <t>SOFI</t>
  </si>
  <si>
    <t>Crowdstrike</t>
  </si>
  <si>
    <t>CRWD</t>
  </si>
  <si>
    <t>Snowflake inc</t>
  </si>
  <si>
    <t>SNOW</t>
  </si>
  <si>
    <t>Revenue</t>
  </si>
  <si>
    <t>COGS</t>
  </si>
  <si>
    <t>Q324</t>
  </si>
  <si>
    <t>Other Income(Expense)</t>
  </si>
  <si>
    <t>Net income (loss)</t>
  </si>
  <si>
    <t>Transaction Expense</t>
  </si>
  <si>
    <t>Transaction and Credit losses</t>
  </si>
  <si>
    <t>Customer Support and Operations</t>
  </si>
  <si>
    <t>R&amp;D</t>
  </si>
  <si>
    <t>G&amp;A</t>
  </si>
  <si>
    <t>Restructuring and other</t>
  </si>
  <si>
    <t>Revenue Y/Y</t>
  </si>
  <si>
    <t>G&amp;A Y/Y</t>
  </si>
  <si>
    <t>Sales and Marketing Y/Y</t>
  </si>
  <si>
    <t>R&amp;D Y/Y</t>
  </si>
  <si>
    <t>Profit Margin</t>
  </si>
  <si>
    <t>Gross Margin</t>
  </si>
  <si>
    <t>Shares</t>
  </si>
  <si>
    <t>EPS</t>
  </si>
  <si>
    <t>Transaction and Credit COGS (% of Revenue)</t>
  </si>
  <si>
    <t>Sector</t>
  </si>
  <si>
    <t>FINTECH (payment services, digital wallets, and P2P payment platform)</t>
  </si>
  <si>
    <t>Q125</t>
  </si>
  <si>
    <t>Q224</t>
  </si>
  <si>
    <t>Q325</t>
  </si>
  <si>
    <t>Tax Rate</t>
  </si>
  <si>
    <t>Q225</t>
  </si>
  <si>
    <t>Q124</t>
  </si>
  <si>
    <t>Q323</t>
  </si>
  <si>
    <t>EV</t>
  </si>
  <si>
    <t>2023EV/E</t>
  </si>
  <si>
    <t>2024EV/E</t>
  </si>
  <si>
    <t>MC</t>
  </si>
  <si>
    <t>Cash</t>
  </si>
  <si>
    <t>Debt</t>
  </si>
  <si>
    <t>2023E</t>
  </si>
  <si>
    <t>2024E</t>
  </si>
  <si>
    <t xml:space="preserve">Block Inc. </t>
  </si>
  <si>
    <t>XYZ</t>
  </si>
  <si>
    <t>Johann Somosa</t>
  </si>
  <si>
    <t>Paypal Inc.</t>
  </si>
  <si>
    <t>Income statement</t>
  </si>
  <si>
    <t>Shares Outstanding</t>
  </si>
  <si>
    <t>Balance Sheet</t>
  </si>
  <si>
    <t>Assets</t>
  </si>
  <si>
    <t>Cash and cash equivalents</t>
  </si>
  <si>
    <t>Short-term investments</t>
  </si>
  <si>
    <t>AR, net</t>
  </si>
  <si>
    <t>Loans and interest recievable, held for sale</t>
  </si>
  <si>
    <t>Loans and interest receivable, net of allowances of $461 and $540 as of December 31, 2024 and 2023, respectively</t>
  </si>
  <si>
    <t>Funds receivable and customer accounts</t>
  </si>
  <si>
    <t>Prepaid expenses and other current assets</t>
  </si>
  <si>
    <t>Total current Assets</t>
  </si>
  <si>
    <t>Long-term investments</t>
  </si>
  <si>
    <t>PP&amp;E</t>
  </si>
  <si>
    <t>Goodwill</t>
  </si>
  <si>
    <t>Intangible assets</t>
  </si>
  <si>
    <t>Other assets</t>
  </si>
  <si>
    <t>2022E</t>
  </si>
  <si>
    <t>Total Assets</t>
  </si>
  <si>
    <t>AP</t>
  </si>
  <si>
    <t>Funds payable and amounts due to customers</t>
  </si>
  <si>
    <t>Accrued expenses and other current liabilities</t>
  </si>
  <si>
    <t>Total current liabilities</t>
  </si>
  <si>
    <t>Other long-term liabilities</t>
  </si>
  <si>
    <t>Long-term debt</t>
  </si>
  <si>
    <t>Total Liabilities</t>
  </si>
  <si>
    <t>Liabilities &amp; Equity</t>
  </si>
  <si>
    <t>Treasury stock at cost, 337 and 245 shares</t>
  </si>
  <si>
    <t>Additional paid-in capital</t>
  </si>
  <si>
    <t>Retained earnings</t>
  </si>
  <si>
    <t>Accumulated other comprehensive income (loss)</t>
  </si>
  <si>
    <t>Total Equity</t>
  </si>
  <si>
    <t>Total L&amp;E</t>
  </si>
  <si>
    <t>Balance</t>
  </si>
  <si>
    <t xml:space="preserve">Cash Flow </t>
  </si>
  <si>
    <t>Net income</t>
  </si>
  <si>
    <t>Transactions and credit losses</t>
  </si>
  <si>
    <t>D&amp;A</t>
  </si>
  <si>
    <t>Stock-based compensation</t>
  </si>
  <si>
    <t>Deferred income taxes</t>
  </si>
  <si>
    <t>Net (gains) losses on strategic investments</t>
  </si>
  <si>
    <t>Gain on divestiture of business, excluding transaction costs</t>
  </si>
  <si>
    <t>Accretion of discounts on investments, net of amortization of premiums</t>
  </si>
  <si>
    <t>Adjustments to loans and interest receivable, held for sale</t>
  </si>
  <si>
    <t>Other</t>
  </si>
  <si>
    <t>Originations of loans receivable, held for sale</t>
  </si>
  <si>
    <t>Proceeds from repayments and sales of loans receivable, originally classified as held for sale</t>
  </si>
  <si>
    <t>Transaction loss allowances for cash losses, net</t>
  </si>
  <si>
    <t>Other current assets and non-current assets</t>
  </si>
  <si>
    <t>Other current liabilities and non-current liabilities</t>
  </si>
  <si>
    <t>-</t>
  </si>
  <si>
    <t>Purchases of reverse repurchase agreements</t>
  </si>
  <si>
    <t>Maturities of reverse purchase agreements</t>
  </si>
  <si>
    <t>Purchases of property and equipment</t>
  </si>
  <si>
    <t>Proceeds from sales of property and equipment</t>
  </si>
  <si>
    <t>Purchases and orginiations of loans receivables</t>
  </si>
  <si>
    <t>Proceeds from repayments and sales of loans receivable, originally classified as held for investment</t>
  </si>
  <si>
    <t>Purchases of investments</t>
  </si>
  <si>
    <t>Maturities and sales of investments</t>
  </si>
  <si>
    <t>Proceeds from divestiture of business, net of cash divested</t>
  </si>
  <si>
    <t>Funds receivable</t>
  </si>
  <si>
    <t>Collateral posted related to derivative instruments, net</t>
  </si>
  <si>
    <t xml:space="preserve">Net cash provided by investing activities </t>
  </si>
  <si>
    <t xml:space="preserve">Net Cash provided by operating activities </t>
  </si>
  <si>
    <t>Borrowings from repurchase agreements</t>
  </si>
  <si>
    <t>Repayments of repurchase agreements</t>
  </si>
  <si>
    <t>Proceeds from issuance of common stock</t>
  </si>
  <si>
    <t>Purchases of treasury stock</t>
  </si>
  <si>
    <t>Tax withholdings related to net share settlements of equity awards</t>
  </si>
  <si>
    <t>Borrowings under financing agreements</t>
  </si>
  <si>
    <t>Repayments under financing arrangements</t>
  </si>
  <si>
    <t>Collateral received related to derivative instruments and reverse purchase agreements, net</t>
  </si>
  <si>
    <t xml:space="preserve">Net cash provided by financing activities </t>
  </si>
  <si>
    <t>Total cash</t>
  </si>
  <si>
    <t>ROIC</t>
  </si>
  <si>
    <t>S&amp;M</t>
  </si>
  <si>
    <t>EBITDA</t>
  </si>
  <si>
    <t>Q122</t>
  </si>
  <si>
    <t>Q222</t>
  </si>
  <si>
    <t>Q322</t>
  </si>
  <si>
    <t>Q126</t>
  </si>
  <si>
    <t>Q326</t>
  </si>
  <si>
    <t>Q226</t>
  </si>
  <si>
    <t>Q223</t>
  </si>
  <si>
    <t>Q123</t>
  </si>
  <si>
    <t>Model Net income</t>
  </si>
  <si>
    <t>Pre Tax Income</t>
  </si>
  <si>
    <t>Effect of FOREX rates on cash</t>
  </si>
  <si>
    <t>Income tax expense</t>
  </si>
  <si>
    <t>Profit  Y/Y</t>
  </si>
  <si>
    <t xml:space="preserve"> </t>
  </si>
  <si>
    <t>Changes in Accounts Receivable</t>
  </si>
  <si>
    <t>Changes in Accounts Payable</t>
  </si>
  <si>
    <t>Changes Income Taxes Payable</t>
  </si>
  <si>
    <t>Finanacial Ratios</t>
  </si>
  <si>
    <t>Assumptions</t>
  </si>
  <si>
    <t>Actuals</t>
  </si>
  <si>
    <t>Forecast</t>
  </si>
  <si>
    <t>Consumption</t>
  </si>
  <si>
    <t>Transactions</t>
  </si>
  <si>
    <t>Platform</t>
  </si>
  <si>
    <t>Selling, shopping, and sending and receiving money simple, personalized, and secure, online or offline, including mobile.</t>
  </si>
  <si>
    <t>Macro</t>
  </si>
  <si>
    <t>Technology</t>
  </si>
  <si>
    <t>Accessibility</t>
  </si>
  <si>
    <t>Digital Wallets</t>
  </si>
  <si>
    <t>We help merchants connect with customers</t>
  </si>
  <si>
    <t>A  bank account, a PayPal or Venmo account balance, our consumer credit products, a credit card, a debit card</t>
  </si>
  <si>
    <t>Market:</t>
  </si>
  <si>
    <t>Small and medium businesses</t>
  </si>
  <si>
    <t>Online checking solutions</t>
  </si>
  <si>
    <t>Venmo</t>
  </si>
  <si>
    <t>Online unbranded payments processing</t>
  </si>
  <si>
    <t>Braintree</t>
  </si>
  <si>
    <t>Paypal complete payments</t>
  </si>
  <si>
    <t>Buy now, pay later</t>
  </si>
  <si>
    <t>Paypal Pay Later</t>
  </si>
  <si>
    <t>In-person point of sales systems</t>
  </si>
  <si>
    <t>Zettle</t>
  </si>
  <si>
    <t>Business Financing</t>
  </si>
  <si>
    <t>Papypal Working Capital (PPWC)</t>
  </si>
  <si>
    <t>Paypal Business Loans (PPBL)</t>
  </si>
  <si>
    <t>Payouts</t>
  </si>
  <si>
    <t>Products:</t>
  </si>
  <si>
    <t>Risk tools</t>
  </si>
  <si>
    <t> 434 million active accounts </t>
  </si>
  <si>
    <t>Charging fees for completing payment transactions for our customers and other payment-related services</t>
  </si>
  <si>
    <t>Currency conversions</t>
  </si>
  <si>
    <t>Instant transfers</t>
  </si>
  <si>
    <t>Fees</t>
  </si>
  <si>
    <t>Paypal to bank or debit card</t>
  </si>
  <si>
    <t>Venmo to bank or debit. card</t>
  </si>
  <si>
    <t>facilitate the purchase and sale of cryptocurrencies</t>
  </si>
  <si>
    <t>Value-added services</t>
  </si>
  <si>
    <t>partnerships</t>
  </si>
  <si>
    <t>interest and fees from credit products</t>
  </si>
  <si>
    <t>Interest earned on certain assets underlying customer balances</t>
  </si>
  <si>
    <t>referral fees</t>
  </si>
  <si>
    <t>subscription fees</t>
  </si>
  <si>
    <t>Volume based</t>
  </si>
  <si>
    <t>Performance</t>
  </si>
  <si>
    <t>Total Payment Volume</t>
  </si>
  <si>
    <t>10% increase to 2023</t>
  </si>
  <si>
    <t>Payment transactions</t>
  </si>
  <si>
    <t>Active users</t>
  </si>
  <si>
    <t>Engagement</t>
  </si>
  <si>
    <t>Customer</t>
  </si>
  <si>
    <t>Merchant</t>
  </si>
  <si>
    <t>Business</t>
  </si>
  <si>
    <t>Conversion</t>
  </si>
  <si>
    <t>Loans</t>
  </si>
  <si>
    <t>Supporting Schedule</t>
  </si>
  <si>
    <t>Expectations</t>
  </si>
  <si>
    <t>Total Payment Value (TPV)</t>
  </si>
  <si>
    <t>15% non-GAAP EPS growth</t>
  </si>
  <si>
    <t>Dividends</t>
  </si>
  <si>
    <t>Initating</t>
  </si>
  <si>
    <t>Strategy</t>
  </si>
  <si>
    <t>Winning checkout</t>
  </si>
  <si>
    <t>scaling omni and growing venmo</t>
  </si>
  <si>
    <t>Driving PSP profitability</t>
  </si>
  <si>
    <t>scaling next-gen growth vectors?</t>
  </si>
  <si>
    <t>Transactions per account growing</t>
  </si>
  <si>
    <t>Growth Drivers</t>
  </si>
  <si>
    <t>In store branded checkout</t>
  </si>
  <si>
    <t>Online branded checkout</t>
  </si>
  <si>
    <t>meet our customers everywhere they shop, whether online, in-store or agentic</t>
  </si>
  <si>
    <t>paypal everywhere</t>
  </si>
  <si>
    <t>Moving out of retails and into services, subscriptions, bills, and everyday expenses</t>
  </si>
  <si>
    <t>BNPL</t>
  </si>
  <si>
    <t>Branded checkouts</t>
  </si>
  <si>
    <t>Improve economy</t>
  </si>
  <si>
    <t>debit card</t>
  </si>
  <si>
    <t>Highly competitive rewards program</t>
  </si>
  <si>
    <t>Strategy goals</t>
  </si>
  <si>
    <t>prioritize merchants</t>
  </si>
  <si>
    <t>drive biometric adoption</t>
  </si>
  <si>
    <t xml:space="preserve">Exposure </t>
  </si>
  <si>
    <t>Upstreaming messaging on product pages</t>
  </si>
  <si>
    <t>Driving adoption of payment-ready APIs that allow merchants to target high-converting Paypal users when they land on their site</t>
  </si>
  <si>
    <t>20 % quarter growth</t>
  </si>
  <si>
    <t>40 billion BNPL TPV</t>
  </si>
  <si>
    <t>TPV growing 14% in 3rd quarter</t>
  </si>
  <si>
    <t>12% in Q2</t>
  </si>
  <si>
    <t>9% Q2 in 2024</t>
  </si>
  <si>
    <t>$1 billion TPV</t>
  </si>
  <si>
    <t>TPV Y/Y</t>
  </si>
  <si>
    <t>P2P growth</t>
  </si>
  <si>
    <t xml:space="preserve">66 million active accounts </t>
  </si>
  <si>
    <t>On pace to generate 1.7 billion</t>
  </si>
  <si>
    <t>Verifone</t>
  </si>
  <si>
    <t>Just acquired in Q4 to expand on value-added services and as an omnichannel solution provider</t>
  </si>
  <si>
    <t>Google</t>
  </si>
  <si>
    <t>Partnership to expand AI shopping experiences</t>
  </si>
  <si>
    <t>Partnership with OpenAI</t>
  </si>
  <si>
    <t>Expand payments and commerce into ChatGPT</t>
  </si>
  <si>
    <t>Agentic commerce services</t>
  </si>
  <si>
    <t>Merchants can sell-through multiple AI platforms including google, OpenAI, and Perplexity.</t>
  </si>
  <si>
    <t>Merchants will have one integration to access customers through LLMs</t>
  </si>
  <si>
    <t>Pay with Venmo</t>
  </si>
  <si>
    <t>In the fourth quarter, we will begin increasing investments designed to drive product attachment and habituation</t>
  </si>
  <si>
    <t>Investments</t>
  </si>
  <si>
    <t>we see an opportunity to lean into our competitive differentiation with additional investment to drive faster growth over time</t>
  </si>
  <si>
    <t>Transaction Margin</t>
  </si>
  <si>
    <t>4.12 billion</t>
  </si>
  <si>
    <t>OpEx</t>
  </si>
  <si>
    <t>Expectation of growth of 6-7%</t>
  </si>
  <si>
    <t>Buybacks</t>
  </si>
  <si>
    <t>$6 biillion</t>
  </si>
  <si>
    <t>Transaction and Credit losses Y/Y</t>
  </si>
  <si>
    <t>Customer Support and Operations Y/Y</t>
  </si>
  <si>
    <t>S&amp;M Y/Y</t>
  </si>
  <si>
    <t>TPV</t>
  </si>
  <si>
    <t>Expense Margin</t>
  </si>
  <si>
    <t>Working Capital Schedule</t>
  </si>
  <si>
    <t>Transaction Losses and Negative Customer Balances Schedule</t>
  </si>
  <si>
    <t xml:space="preserve">Loans &amp; Interest Schedule </t>
  </si>
  <si>
    <t>Accounts Receivables</t>
  </si>
  <si>
    <t>Accounts Payables</t>
  </si>
  <si>
    <t>Net Working Capital</t>
  </si>
  <si>
    <t>Change in NWC</t>
  </si>
  <si>
    <t>TLNCB Opening</t>
  </si>
  <si>
    <t>TLNCB Close</t>
  </si>
  <si>
    <t>Loans Opening</t>
  </si>
  <si>
    <t>Charged/Credited</t>
  </si>
  <si>
    <t>Charges Utilized/(Write-offs)</t>
  </si>
  <si>
    <t>Loans Close</t>
  </si>
  <si>
    <t>DCF Model</t>
  </si>
  <si>
    <t>Discount Rate</t>
  </si>
  <si>
    <t>Perpetual Growth Rate</t>
  </si>
  <si>
    <t>Market Cap</t>
  </si>
  <si>
    <t>Discounted Cash Flow</t>
  </si>
  <si>
    <t>Cost of Debt</t>
  </si>
  <si>
    <t>Cost of Equity</t>
  </si>
  <si>
    <t>Weight of Debt</t>
  </si>
  <si>
    <t>Weight of Equity</t>
  </si>
  <si>
    <t>EV/EBITDA</t>
  </si>
  <si>
    <t>Less: Change in NWC</t>
  </si>
  <si>
    <t>Less: CAPEX</t>
  </si>
  <si>
    <t>Unlevered FCF</t>
  </si>
  <si>
    <t>Present Value</t>
  </si>
  <si>
    <t>Terminal Value</t>
  </si>
  <si>
    <t>Perpetual Growth</t>
  </si>
  <si>
    <t xml:space="preserve">EV/EBITDA </t>
  </si>
  <si>
    <t>Enterprise Value</t>
  </si>
  <si>
    <t>Plus: Cash</t>
  </si>
  <si>
    <t>Equity Value</t>
  </si>
  <si>
    <t>Intrinsic Value</t>
  </si>
  <si>
    <t>Market Value</t>
  </si>
  <si>
    <t>Plus: Debt</t>
  </si>
  <si>
    <t>Less: Cash</t>
  </si>
  <si>
    <t>Less: Debt</t>
  </si>
  <si>
    <t>Equity Value/Shares</t>
  </si>
  <si>
    <t>Rate of Return</t>
  </si>
  <si>
    <t>Current Price</t>
  </si>
  <si>
    <t>Target Price</t>
  </si>
  <si>
    <t>Target Price Upside</t>
  </si>
  <si>
    <t>Retained Earnings Y/Y</t>
  </si>
  <si>
    <t>FINTECH (payment processing services, digital wallets, P2P payment platform, music streaming platform, and bitcoin)</t>
  </si>
  <si>
    <t>FINTECH (Payment processing services, SAAS platform for merchants)</t>
  </si>
  <si>
    <t>FINTECH (Payment processing services, POS systems)</t>
  </si>
  <si>
    <t>Payment processing services, software, cloud-based solutions, Issuer solutions</t>
  </si>
  <si>
    <t>FINTech (Quickbooks, Intuit Enterprise Suite, TurboTax, Creditkarma, ProTax)</t>
  </si>
  <si>
    <t>SaaS , Cloud-based</t>
  </si>
  <si>
    <t>2023 Revenue</t>
  </si>
  <si>
    <t>2023 Adj' EBITDA</t>
  </si>
  <si>
    <t>2024 Adj' EBITDA</t>
  </si>
  <si>
    <t>Dataset</t>
  </si>
  <si>
    <t>Preferred Stocks</t>
  </si>
  <si>
    <t>Non-controlling interests</t>
  </si>
  <si>
    <t>2022 Adj' EBITDA</t>
  </si>
  <si>
    <t>2022 Revenue</t>
  </si>
  <si>
    <t>2024 Revenue</t>
  </si>
  <si>
    <t>Cybersecurity</t>
  </si>
  <si>
    <t>Finance Technology</t>
  </si>
  <si>
    <t>Payoneer Global Inc.</t>
  </si>
  <si>
    <t>PAYO</t>
  </si>
  <si>
    <t>Outstanding Shares</t>
  </si>
  <si>
    <t>(in millions, except share price data)</t>
  </si>
  <si>
    <t>2022 EBITDA</t>
  </si>
  <si>
    <t>2023 EBITDA</t>
  </si>
  <si>
    <t>2024 EBITDA</t>
  </si>
  <si>
    <t>Chim Financial Inc.</t>
  </si>
  <si>
    <t>CHYM</t>
  </si>
  <si>
    <t>Marqeta Inc.</t>
  </si>
  <si>
    <t>MQ</t>
  </si>
  <si>
    <t>Date</t>
  </si>
  <si>
    <t>EBITDA Margin</t>
  </si>
  <si>
    <t>P/E</t>
  </si>
  <si>
    <t>Ticker</t>
  </si>
  <si>
    <t>Share count</t>
  </si>
  <si>
    <t>Currency</t>
  </si>
  <si>
    <t>USD</t>
  </si>
  <si>
    <t>22</t>
  </si>
  <si>
    <t xml:space="preserve">23 </t>
  </si>
  <si>
    <t xml:space="preserve">24 </t>
  </si>
  <si>
    <t>23</t>
  </si>
  <si>
    <t>24</t>
  </si>
  <si>
    <t xml:space="preserve">Revenue Growth </t>
  </si>
  <si>
    <t>Market Capitalization</t>
  </si>
  <si>
    <t>23'</t>
  </si>
  <si>
    <t>Financial Metrics</t>
  </si>
  <si>
    <t>(Figures stated in millions, except price and per share data)</t>
  </si>
  <si>
    <t>Profit</t>
  </si>
  <si>
    <t>EV/Revenue</t>
  </si>
  <si>
    <t>Mean</t>
  </si>
  <si>
    <t>Median</t>
  </si>
  <si>
    <t>Calculating Implied Share Price</t>
  </si>
  <si>
    <t>Minimum</t>
  </si>
  <si>
    <t>Maximum</t>
  </si>
  <si>
    <t xml:space="preserve">Revenue </t>
  </si>
  <si>
    <t xml:space="preserve">EBITDA </t>
  </si>
  <si>
    <t>Trading Multiples</t>
  </si>
  <si>
    <t>2024 Trading Multiple</t>
  </si>
  <si>
    <t>Financial metric</t>
  </si>
  <si>
    <t>Implied Share Price</t>
  </si>
  <si>
    <t>by: Johann Somosa</t>
  </si>
  <si>
    <t xml:space="preserve">Comps Valuations Model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</si>
</sst>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F&quot;Y&quot;yy"/>
    <numFmt numFmtId="165" formatCode="0.0"/>
    <numFmt numFmtId="166" formatCode="0.0\x"/>
    <numFmt numFmtId="170" formatCode="0\x"/>
  </numFmts>
  <fonts count="4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b/>
      <sz val="9"/>
      <color indexed="81"/>
      <name val="Tahoma"/>
      <family val="2"/>
    </font>
    <font>
      <b/>
      <sz val="30"/>
      <color theme="0"/>
      <name val="Calibri"/>
      <family val="2"/>
      <scheme val="minor"/>
    </font>
    <font>
      <sz val="12"/>
      <color theme="0"/>
      <name val="Calibri"/>
      <family val="2"/>
      <scheme val="minor"/>
    </font>
    <font>
      <sz val="24"/>
      <color theme="0"/>
      <name val="Calibri"/>
      <family val="2"/>
      <scheme val="minor"/>
    </font>
    <font>
      <b/>
      <sz val="12"/>
      <color theme="1"/>
      <name val="Calibri"/>
      <family val="2"/>
      <scheme val="minor"/>
    </font>
    <font>
      <b/>
      <sz val="18"/>
      <color theme="1" tint="0.14999847407452621"/>
      <name val="Calibri"/>
      <family val="2"/>
      <scheme val="minor"/>
    </font>
    <font>
      <b/>
      <sz val="12"/>
      <color theme="0"/>
      <name val="Calibri"/>
      <family val="2"/>
      <scheme val="minor"/>
    </font>
    <font>
      <b/>
      <sz val="12"/>
      <color theme="1" tint="0.14999847407452621"/>
      <name val="Calibri"/>
      <family val="2"/>
      <scheme val="minor"/>
    </font>
    <font>
      <b/>
      <sz val="12"/>
      <color theme="1" tint="0.14999847407452621"/>
      <name val="Calibri (Body)"/>
    </font>
    <font>
      <b/>
      <sz val="9"/>
      <color rgb="FF000000"/>
      <name val="Tahoma"/>
      <family val="2"/>
    </font>
    <font>
      <sz val="9"/>
      <color rgb="FF000000"/>
      <name val="Tahoma"/>
      <family val="2"/>
    </font>
    <font>
      <sz val="12"/>
      <color theme="1"/>
      <name val="Calibri"/>
      <family val="2"/>
      <scheme val="minor"/>
    </font>
    <font>
      <sz val="12"/>
      <color theme="1" tint="0.14999847407452621"/>
      <name val="Calibri (Body)"/>
    </font>
    <font>
      <sz val="11"/>
      <color theme="1"/>
      <name val="Abadi"/>
      <family val="2"/>
    </font>
    <font>
      <sz val="20"/>
      <color theme="1"/>
      <name val="Calibri"/>
      <family val="2"/>
      <scheme val="minor"/>
    </font>
    <font>
      <b/>
      <sz val="12"/>
      <name val="Calibri"/>
      <family val="2"/>
      <scheme val="minor"/>
    </font>
    <font>
      <i/>
      <sz val="12"/>
      <name val="Calibri"/>
      <family val="2"/>
      <scheme val="minor"/>
    </font>
    <font>
      <sz val="12"/>
      <color theme="1"/>
      <name val="Abadi"/>
      <family val="2"/>
    </font>
    <font>
      <b/>
      <sz val="18"/>
      <color theme="0"/>
      <name val="Calibri"/>
      <family val="2"/>
      <scheme val="minor"/>
    </font>
    <font>
      <sz val="11"/>
      <color rgb="FF005EA4"/>
      <name val="Calibri"/>
      <family val="2"/>
      <scheme val="minor"/>
    </font>
    <font>
      <b/>
      <sz val="18"/>
      <name val="Calibri"/>
      <family val="2"/>
      <scheme val="minor"/>
    </font>
    <font>
      <i/>
      <sz val="12"/>
      <color theme="1"/>
      <name val="Calibri"/>
      <family val="2"/>
      <scheme val="minor"/>
    </font>
    <font>
      <b/>
      <sz val="14"/>
      <color theme="1"/>
      <name val="Calibri"/>
      <family val="2"/>
      <scheme val="minor"/>
    </font>
    <font>
      <sz val="14"/>
      <color theme="1"/>
      <name val="Calibri"/>
      <family val="2"/>
      <scheme val="minor"/>
    </font>
    <font>
      <sz val="16"/>
      <color theme="1"/>
      <name val="Calibri"/>
      <family val="2"/>
      <scheme val="mino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rgb="FF0070C0"/>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rgb="FFFFFF00"/>
        <bgColor indexed="64"/>
      </patternFill>
    </fill>
    <fill>
      <patternFill patternType="solid">
        <fgColor theme="9"/>
        <bgColor indexed="64"/>
      </patternFill>
    </fill>
    <fill>
      <patternFill patternType="solid">
        <fgColor theme="4" tint="-0.499984740745262"/>
        <bgColor indexed="64"/>
      </patternFill>
    </fill>
    <fill>
      <patternFill patternType="solid">
        <fgColor theme="3" tint="-0.49998474074526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F6165"/>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1">
    <xf numFmtId="0" fontId="0" fillId="0" borderId="0" xfId="0"/>
    <xf numFmtId="3" fontId="0" fillId="0" borderId="0" xfId="0" applyNumberFormat="1"/>
    <xf numFmtId="0" fontId="16" fillId="0" borderId="0" xfId="0" applyFont="1"/>
    <xf numFmtId="37" fontId="0" fillId="0" borderId="0" xfId="0" applyNumberFormat="1"/>
    <xf numFmtId="9" fontId="0" fillId="0" borderId="0" xfId="2" applyFont="1"/>
    <xf numFmtId="0" fontId="0" fillId="0" borderId="0" xfId="0" applyAlignment="1">
      <alignment horizontal="right"/>
    </xf>
    <xf numFmtId="0" fontId="16" fillId="0" borderId="0" xfId="0" applyFont="1" applyAlignment="1">
      <alignment horizontal="right"/>
    </xf>
    <xf numFmtId="37" fontId="0" fillId="0" borderId="0" xfId="0" applyNumberFormat="1" applyAlignment="1">
      <alignment horizontal="right"/>
    </xf>
    <xf numFmtId="37" fontId="16" fillId="0" borderId="0" xfId="0" applyNumberFormat="1" applyFont="1" applyAlignment="1">
      <alignment horizontal="right"/>
    </xf>
    <xf numFmtId="0" fontId="16" fillId="0" borderId="10" xfId="0" applyFont="1" applyBorder="1" applyAlignment="1">
      <alignment horizontal="right"/>
    </xf>
    <xf numFmtId="37" fontId="16" fillId="0" borderId="10" xfId="0" applyNumberFormat="1" applyFont="1" applyBorder="1" applyAlignment="1">
      <alignment horizontal="right"/>
    </xf>
    <xf numFmtId="9" fontId="0" fillId="0" borderId="0" xfId="2" applyFont="1" applyAlignment="1">
      <alignment horizontal="right"/>
    </xf>
    <xf numFmtId="0" fontId="0" fillId="0" borderId="0" xfId="0" applyAlignment="1">
      <alignment horizontal="left"/>
    </xf>
    <xf numFmtId="0" fontId="16" fillId="0" borderId="0" xfId="0" applyFont="1" applyAlignment="1">
      <alignment horizontal="left"/>
    </xf>
    <xf numFmtId="0" fontId="16" fillId="0" borderId="10" xfId="0" applyFont="1" applyBorder="1" applyAlignment="1">
      <alignment horizontal="left"/>
    </xf>
    <xf numFmtId="0" fontId="16" fillId="0" borderId="0" xfId="0" applyFont="1" applyAlignment="1">
      <alignment horizontal="center"/>
    </xf>
    <xf numFmtId="0" fontId="23" fillId="0" borderId="0" xfId="0" applyFont="1" applyAlignment="1">
      <alignment horizontal="left" indent="1"/>
    </xf>
    <xf numFmtId="164" fontId="24" fillId="33" borderId="0" xfId="0" applyNumberFormat="1" applyFont="1" applyFill="1"/>
    <xf numFmtId="164" fontId="25" fillId="33" borderId="0" xfId="0" applyNumberFormat="1" applyFont="1" applyFill="1"/>
    <xf numFmtId="0" fontId="20" fillId="34" borderId="0" xfId="0" applyFont="1" applyFill="1" applyAlignment="1">
      <alignment vertical="center"/>
    </xf>
    <xf numFmtId="0" fontId="21" fillId="34" borderId="0" xfId="0" applyFont="1" applyFill="1"/>
    <xf numFmtId="0" fontId="16" fillId="0" borderId="11" xfId="0" applyFont="1" applyBorder="1" applyAlignment="1">
      <alignment horizontal="center"/>
    </xf>
    <xf numFmtId="164" fontId="16" fillId="0" borderId="11" xfId="0" applyNumberFormat="1" applyFont="1" applyBorder="1" applyAlignment="1">
      <alignment horizontal="center"/>
    </xf>
    <xf numFmtId="44" fontId="0" fillId="0" borderId="0" xfId="1" applyFont="1" applyAlignment="1">
      <alignment horizontal="right"/>
    </xf>
    <xf numFmtId="0" fontId="0" fillId="0" borderId="10" xfId="0" applyBorder="1"/>
    <xf numFmtId="0" fontId="16" fillId="0" borderId="10" xfId="0" applyFont="1" applyBorder="1"/>
    <xf numFmtId="0" fontId="0" fillId="0" borderId="0" xfId="0" applyAlignment="1">
      <alignment horizontal="left" indent="1"/>
    </xf>
    <xf numFmtId="0" fontId="16" fillId="0" borderId="0" xfId="0" applyFont="1" applyAlignment="1">
      <alignment horizontal="left" indent="1"/>
    </xf>
    <xf numFmtId="37" fontId="16" fillId="0" borderId="10" xfId="0" applyNumberFormat="1" applyFont="1" applyBorder="1"/>
    <xf numFmtId="39" fontId="16" fillId="0" borderId="10" xfId="0" applyNumberFormat="1" applyFont="1" applyBorder="1"/>
    <xf numFmtId="44" fontId="0" fillId="0" borderId="0" xfId="1" applyFont="1"/>
    <xf numFmtId="37" fontId="16" fillId="0" borderId="0" xfId="0" applyNumberFormat="1" applyFont="1"/>
    <xf numFmtId="0" fontId="0" fillId="0" borderId="0" xfId="0" applyAlignment="1">
      <alignment wrapText="1"/>
    </xf>
    <xf numFmtId="3" fontId="0" fillId="0" borderId="0" xfId="0" applyNumberFormat="1" applyAlignment="1">
      <alignment horizontal="right"/>
    </xf>
    <xf numFmtId="0" fontId="16" fillId="0" borderId="11" xfId="0" applyFont="1" applyBorder="1" applyAlignment="1">
      <alignment horizontal="right"/>
    </xf>
    <xf numFmtId="1" fontId="0" fillId="0" borderId="0" xfId="0" applyNumberFormat="1"/>
    <xf numFmtId="164" fontId="24" fillId="0" borderId="0" xfId="0" applyNumberFormat="1" applyFont="1"/>
    <xf numFmtId="0" fontId="16" fillId="35" borderId="11" xfId="0" applyFont="1" applyFill="1" applyBorder="1" applyAlignment="1">
      <alignment horizontal="right"/>
    </xf>
    <xf numFmtId="0" fontId="16" fillId="35" borderId="11" xfId="0" applyFont="1" applyFill="1" applyBorder="1" applyAlignment="1">
      <alignment horizontal="center"/>
    </xf>
    <xf numFmtId="164" fontId="16" fillId="35" borderId="11" xfId="0" applyNumberFormat="1" applyFont="1" applyFill="1" applyBorder="1" applyAlignment="1">
      <alignment horizontal="center"/>
    </xf>
    <xf numFmtId="164" fontId="16" fillId="36" borderId="11" xfId="0" applyNumberFormat="1" applyFont="1" applyFill="1" applyBorder="1" applyAlignment="1">
      <alignment horizontal="center"/>
    </xf>
    <xf numFmtId="0" fontId="0" fillId="0" borderId="11" xfId="0" applyBorder="1" applyAlignment="1">
      <alignment horizontal="right"/>
    </xf>
    <xf numFmtId="0" fontId="23" fillId="35" borderId="0" xfId="0" applyFont="1" applyFill="1" applyAlignment="1">
      <alignment horizontal="left" indent="1"/>
    </xf>
    <xf numFmtId="0" fontId="0" fillId="35" borderId="0" xfId="0" applyFill="1"/>
    <xf numFmtId="0" fontId="0" fillId="0" borderId="0" xfId="0" applyAlignment="1">
      <alignment horizontal="left" wrapText="1" indent="1"/>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xf>
    <xf numFmtId="0" fontId="0" fillId="37" borderId="0" xfId="0" applyFill="1"/>
    <xf numFmtId="0" fontId="16" fillId="36" borderId="11" xfId="0" applyFont="1" applyFill="1" applyBorder="1" applyAlignment="1">
      <alignment horizontal="center"/>
    </xf>
    <xf numFmtId="164" fontId="24" fillId="0" borderId="0" xfId="0" applyNumberFormat="1" applyFont="1" applyAlignment="1">
      <alignment vertical="center"/>
    </xf>
    <xf numFmtId="0" fontId="23" fillId="33" borderId="0" xfId="0" applyFont="1" applyFill="1" applyAlignment="1">
      <alignment horizontal="left" indent="1"/>
    </xf>
    <xf numFmtId="0" fontId="0" fillId="33" borderId="0" xfId="0" applyFill="1"/>
    <xf numFmtId="0" fontId="0" fillId="0" borderId="0" xfId="0" applyAlignment="1">
      <alignment horizontal="center" wrapText="1"/>
    </xf>
    <xf numFmtId="0" fontId="0" fillId="38" borderId="0" xfId="0" applyFill="1" applyAlignment="1">
      <alignment horizontal="center" vertical="center"/>
    </xf>
    <xf numFmtId="0" fontId="0" fillId="38" borderId="0" xfId="0" applyFill="1"/>
    <xf numFmtId="0" fontId="0" fillId="0" borderId="0" xfId="0" applyAlignment="1">
      <alignment horizontal="center" vertical="center" wrapText="1"/>
    </xf>
    <xf numFmtId="9" fontId="0" fillId="0" borderId="0" xfId="0" applyNumberFormat="1"/>
    <xf numFmtId="0" fontId="30" fillId="0" borderId="0" xfId="0" applyFont="1" applyAlignment="1">
      <alignment horizontal="left" indent="1"/>
    </xf>
    <xf numFmtId="2" fontId="0" fillId="0" borderId="0" xfId="0" applyNumberFormat="1"/>
    <xf numFmtId="37" fontId="0" fillId="0" borderId="10" xfId="0" applyNumberFormat="1" applyBorder="1"/>
    <xf numFmtId="164" fontId="31" fillId="0" borderId="0" xfId="0" applyNumberFormat="1" applyFont="1" applyAlignment="1">
      <alignment vertical="center"/>
    </xf>
    <xf numFmtId="164" fontId="0" fillId="0" borderId="0" xfId="0" applyNumberFormat="1" applyAlignment="1">
      <alignment horizontal="center"/>
    </xf>
    <xf numFmtId="164" fontId="27" fillId="0" borderId="0" xfId="0" applyNumberFormat="1" applyFont="1" applyAlignment="1">
      <alignment vertical="center"/>
    </xf>
    <xf numFmtId="164" fontId="16" fillId="0" borderId="0" xfId="0" applyNumberFormat="1" applyFont="1" applyAlignment="1">
      <alignment horizontal="center"/>
    </xf>
    <xf numFmtId="9" fontId="0" fillId="0" borderId="10" xfId="0" applyNumberFormat="1" applyBorder="1"/>
    <xf numFmtId="3" fontId="16" fillId="0" borderId="10" xfId="0" applyNumberFormat="1" applyFont="1" applyBorder="1"/>
    <xf numFmtId="0" fontId="16" fillId="0" borderId="11" xfId="0" applyFont="1" applyBorder="1"/>
    <xf numFmtId="0" fontId="0" fillId="0" borderId="11" xfId="0" applyBorder="1"/>
    <xf numFmtId="37" fontId="16" fillId="0" borderId="11" xfId="0" applyNumberFormat="1" applyFont="1" applyBorder="1"/>
    <xf numFmtId="44" fontId="0" fillId="0" borderId="0" xfId="0" applyNumberFormat="1"/>
    <xf numFmtId="165" fontId="0" fillId="0" borderId="0" xfId="0" applyNumberFormat="1" applyAlignment="1">
      <alignment horizontal="right"/>
    </xf>
    <xf numFmtId="165" fontId="0" fillId="0" borderId="0" xfId="0" applyNumberFormat="1"/>
    <xf numFmtId="0" fontId="32" fillId="0" borderId="0" xfId="0" applyFont="1"/>
    <xf numFmtId="0" fontId="30" fillId="0" borderId="0" xfId="0" applyFont="1"/>
    <xf numFmtId="0" fontId="23" fillId="0" borderId="0" xfId="0" applyFont="1" applyAlignment="1">
      <alignment horizontal="center"/>
    </xf>
    <xf numFmtId="1" fontId="30" fillId="0" borderId="0" xfId="0" applyNumberFormat="1" applyFont="1"/>
    <xf numFmtId="0" fontId="25" fillId="39" borderId="0" xfId="0" applyFont="1" applyFill="1" applyAlignment="1">
      <alignment horizontal="center"/>
    </xf>
    <xf numFmtId="0" fontId="34" fillId="0" borderId="0" xfId="0" applyFont="1" applyAlignment="1">
      <alignment horizontal="center"/>
    </xf>
    <xf numFmtId="0" fontId="35" fillId="0" borderId="0" xfId="0" applyFont="1" applyAlignment="1">
      <alignment horizontal="left"/>
    </xf>
    <xf numFmtId="0" fontId="23" fillId="0" borderId="0" xfId="0" applyFont="1"/>
    <xf numFmtId="3" fontId="30" fillId="0" borderId="0" xfId="0" applyNumberFormat="1" applyFont="1"/>
    <xf numFmtId="37" fontId="30" fillId="0" borderId="0" xfId="0" applyNumberFormat="1" applyFont="1"/>
    <xf numFmtId="37" fontId="30" fillId="0" borderId="0" xfId="0" applyNumberFormat="1" applyFont="1" applyAlignment="1">
      <alignment horizontal="right"/>
    </xf>
    <xf numFmtId="165" fontId="30" fillId="0" borderId="0" xfId="0" applyNumberFormat="1" applyFont="1" applyAlignment="1">
      <alignment horizontal="right"/>
    </xf>
    <xf numFmtId="165" fontId="30" fillId="0" borderId="0" xfId="0" applyNumberFormat="1" applyFont="1"/>
    <xf numFmtId="0" fontId="36" fillId="0" borderId="0" xfId="0" applyFont="1"/>
    <xf numFmtId="9" fontId="30" fillId="0" borderId="0" xfId="2" applyFont="1"/>
    <xf numFmtId="2" fontId="30" fillId="0" borderId="0" xfId="0" applyNumberFormat="1" applyFont="1"/>
    <xf numFmtId="0" fontId="21" fillId="40" borderId="0" xfId="0" applyFont="1" applyFill="1"/>
    <xf numFmtId="0" fontId="17" fillId="40" borderId="0" xfId="0" applyFont="1" applyFill="1"/>
    <xf numFmtId="0" fontId="37" fillId="40" borderId="0" xfId="0" applyFont="1" applyFill="1" applyAlignment="1">
      <alignment horizontal="left"/>
    </xf>
    <xf numFmtId="0" fontId="38" fillId="0" borderId="0" xfId="0" applyFont="1"/>
    <xf numFmtId="0" fontId="17" fillId="0" borderId="0" xfId="0" applyFont="1"/>
    <xf numFmtId="0" fontId="37" fillId="0" borderId="0" xfId="0" applyFont="1" applyAlignment="1">
      <alignment horizontal="left"/>
    </xf>
    <xf numFmtId="0" fontId="21" fillId="0" borderId="0" xfId="0" applyFont="1"/>
    <xf numFmtId="14" fontId="30" fillId="0" borderId="0" xfId="0" applyNumberFormat="1" applyFont="1" applyAlignment="1">
      <alignment horizontal="right"/>
    </xf>
    <xf numFmtId="14" fontId="30" fillId="41" borderId="0" xfId="0" applyNumberFormat="1" applyFont="1" applyFill="1"/>
    <xf numFmtId="14" fontId="30" fillId="41" borderId="0" xfId="0" applyNumberFormat="1" applyFont="1" applyFill="1" applyAlignment="1">
      <alignment horizontal="right"/>
    </xf>
    <xf numFmtId="0" fontId="30" fillId="42" borderId="0" xfId="0" applyFont="1" applyFill="1"/>
    <xf numFmtId="0" fontId="23" fillId="42" borderId="0" xfId="0" applyFont="1" applyFill="1"/>
    <xf numFmtId="0" fontId="0" fillId="42" borderId="0" xfId="0" applyFill="1"/>
    <xf numFmtId="0" fontId="23" fillId="42" borderId="0" xfId="0" applyFont="1" applyFill="1" applyAlignment="1">
      <alignment horizontal="center"/>
    </xf>
    <xf numFmtId="0" fontId="23" fillId="42" borderId="0" xfId="0" quotePrefix="1" applyFont="1" applyFill="1" applyAlignment="1">
      <alignment horizontal="center"/>
    </xf>
    <xf numFmtId="0" fontId="30" fillId="0" borderId="12" xfId="0" applyFont="1" applyBorder="1" applyAlignment="1">
      <alignment horizontal="center"/>
    </xf>
    <xf numFmtId="0" fontId="30" fillId="0" borderId="11" xfId="0" applyFont="1" applyBorder="1"/>
    <xf numFmtId="37" fontId="30" fillId="0" borderId="11" xfId="0" applyNumberFormat="1" applyFont="1" applyBorder="1"/>
    <xf numFmtId="0" fontId="23" fillId="0" borderId="11" xfId="0" applyFont="1" applyBorder="1" applyAlignment="1">
      <alignment horizontal="center"/>
    </xf>
    <xf numFmtId="0" fontId="30" fillId="0" borderId="11" xfId="0" quotePrefix="1" applyFont="1" applyBorder="1" applyAlignment="1">
      <alignment horizontal="center"/>
    </xf>
    <xf numFmtId="166" fontId="30" fillId="0" borderId="11" xfId="0" applyNumberFormat="1" applyFont="1" applyBorder="1"/>
    <xf numFmtId="166" fontId="30" fillId="0" borderId="11" xfId="0" applyNumberFormat="1" applyFont="1" applyBorder="1" applyAlignment="1">
      <alignment horizontal="center"/>
    </xf>
    <xf numFmtId="166" fontId="30" fillId="0" borderId="0" xfId="0" applyNumberFormat="1" applyFont="1"/>
    <xf numFmtId="9" fontId="30" fillId="0" borderId="11" xfId="2" applyFont="1" applyFill="1" applyBorder="1"/>
    <xf numFmtId="9" fontId="30" fillId="0" borderId="0" xfId="2" applyFont="1" applyFill="1"/>
    <xf numFmtId="9" fontId="30" fillId="44" borderId="0" xfId="2" applyFont="1" applyFill="1"/>
    <xf numFmtId="0" fontId="41" fillId="42" borderId="0" xfId="0" applyFont="1" applyFill="1" applyAlignment="1">
      <alignment horizontal="center"/>
    </xf>
    <xf numFmtId="0" fontId="23" fillId="42" borderId="0" xfId="0" applyFont="1" applyFill="1" applyAlignment="1">
      <alignment horizontal="center"/>
    </xf>
    <xf numFmtId="0" fontId="39" fillId="0" borderId="0" xfId="0" applyFont="1" applyAlignment="1">
      <alignment horizontal="center"/>
    </xf>
    <xf numFmtId="0" fontId="40" fillId="0" borderId="0" xfId="0" applyFont="1" applyAlignment="1">
      <alignment horizontal="center"/>
    </xf>
    <xf numFmtId="0" fontId="23" fillId="42" borderId="0" xfId="0" applyFont="1" applyFill="1" applyAlignment="1">
      <alignment horizontal="center" wrapText="1"/>
    </xf>
    <xf numFmtId="0" fontId="16" fillId="0" borderId="11" xfId="0" applyFont="1" applyBorder="1" applyAlignment="1">
      <alignment horizontal="center"/>
    </xf>
    <xf numFmtId="0" fontId="0" fillId="0" borderId="0" xfId="0" applyAlignment="1">
      <alignment horizontal="center"/>
    </xf>
    <xf numFmtId="164" fontId="27" fillId="35" borderId="0" xfId="0" applyNumberFormat="1" applyFont="1" applyFill="1" applyAlignment="1">
      <alignment horizontal="center" vertical="center"/>
    </xf>
    <xf numFmtId="0" fontId="16" fillId="36" borderId="0" xfId="0" applyFont="1" applyFill="1" applyAlignment="1">
      <alignment horizontal="center" vertical="center"/>
    </xf>
    <xf numFmtId="0" fontId="0" fillId="36" borderId="0" xfId="0" applyFill="1" applyAlignment="1">
      <alignment horizontal="center" vertical="center"/>
    </xf>
    <xf numFmtId="0" fontId="22" fillId="34" borderId="0" xfId="0" applyFont="1" applyFill="1" applyAlignment="1">
      <alignment horizontal="center" vertical="center"/>
    </xf>
    <xf numFmtId="164" fontId="26" fillId="35" borderId="0" xfId="0" applyNumberFormat="1" applyFont="1" applyFill="1" applyAlignment="1">
      <alignment horizontal="center" vertical="center"/>
    </xf>
    <xf numFmtId="164" fontId="26" fillId="36" borderId="0" xfId="0" applyNumberFormat="1" applyFont="1" applyFill="1" applyAlignment="1">
      <alignment horizontal="center" vertical="center"/>
    </xf>
    <xf numFmtId="0" fontId="0" fillId="35" borderId="0" xfId="0" applyFill="1" applyAlignment="1">
      <alignment horizontal="center"/>
    </xf>
    <xf numFmtId="170" fontId="0" fillId="0" borderId="0" xfId="0" applyNumberFormat="1"/>
    <xf numFmtId="0" fontId="38" fillId="42" borderId="0" xfId="0" applyFont="1" applyFill="1"/>
    <xf numFmtId="37" fontId="30" fillId="42" borderId="0" xfId="0" applyNumberFormat="1" applyFont="1" applyFill="1"/>
    <xf numFmtId="9" fontId="30" fillId="42" borderId="0" xfId="2" applyFont="1" applyFill="1"/>
    <xf numFmtId="2" fontId="30" fillId="42" borderId="0" xfId="0" applyNumberFormat="1" applyFont="1" applyFill="1"/>
    <xf numFmtId="37" fontId="23" fillId="42" borderId="0" xfId="0" applyNumberFormat="1" applyFont="1" applyFill="1"/>
    <xf numFmtId="37" fontId="23" fillId="42" borderId="11" xfId="0" applyNumberFormat="1" applyFont="1" applyFill="1" applyBorder="1" applyAlignment="1">
      <alignment horizontal="center"/>
    </xf>
    <xf numFmtId="2" fontId="23" fillId="42" borderId="11" xfId="0" applyNumberFormat="1" applyFont="1" applyFill="1" applyBorder="1" applyAlignment="1">
      <alignment horizontal="center"/>
    </xf>
    <xf numFmtId="0" fontId="23" fillId="42" borderId="11" xfId="0" applyFont="1" applyFill="1" applyBorder="1" applyAlignment="1">
      <alignment horizontal="center"/>
    </xf>
    <xf numFmtId="0" fontId="23" fillId="42" borderId="13" xfId="0" applyFont="1" applyFill="1" applyBorder="1" applyAlignment="1">
      <alignment horizontal="center"/>
    </xf>
    <xf numFmtId="37" fontId="23" fillId="42" borderId="13" xfId="0" applyNumberFormat="1" applyFont="1" applyFill="1" applyBorder="1" applyAlignment="1">
      <alignment horizontal="center"/>
    </xf>
    <xf numFmtId="37" fontId="23" fillId="42" borderId="13" xfId="0" applyNumberFormat="1" applyFont="1" applyFill="1" applyBorder="1" applyAlignment="1">
      <alignment horizontal="center" wrapText="1"/>
    </xf>
    <xf numFmtId="0" fontId="23" fillId="42" borderId="13" xfId="0" applyFont="1" applyFill="1" applyBorder="1" applyAlignment="1">
      <alignment horizontal="center" wrapText="1"/>
    </xf>
    <xf numFmtId="37" fontId="23" fillId="42" borderId="11" xfId="0" applyNumberFormat="1" applyFont="1" applyFill="1" applyBorder="1" applyAlignment="1">
      <alignment horizontal="center"/>
    </xf>
    <xf numFmtId="0" fontId="38" fillId="43" borderId="14" xfId="0" applyFont="1" applyFill="1" applyBorder="1"/>
    <xf numFmtId="0" fontId="30" fillId="43" borderId="10" xfId="0" applyFont="1" applyFill="1" applyBorder="1"/>
    <xf numFmtId="37" fontId="30" fillId="43" borderId="10" xfId="0" applyNumberFormat="1" applyFont="1" applyFill="1" applyBorder="1"/>
    <xf numFmtId="0" fontId="0" fillId="43" borderId="10" xfId="0" applyFill="1" applyBorder="1"/>
    <xf numFmtId="9" fontId="30" fillId="43" borderId="10" xfId="2" applyFont="1" applyFill="1" applyBorder="1"/>
    <xf numFmtId="0" fontId="30" fillId="43" borderId="15" xfId="0" applyFont="1" applyFill="1" applyBorder="1"/>
    <xf numFmtId="0" fontId="38" fillId="43" borderId="12" xfId="0" applyFont="1" applyFill="1" applyBorder="1"/>
    <xf numFmtId="0" fontId="30" fillId="43" borderId="11" xfId="0" applyFont="1" applyFill="1" applyBorder="1"/>
    <xf numFmtId="37" fontId="30" fillId="43" borderId="11" xfId="0" applyNumberFormat="1" applyFont="1" applyFill="1" applyBorder="1"/>
    <xf numFmtId="0" fontId="0" fillId="43" borderId="11" xfId="0" applyFill="1" applyBorder="1"/>
    <xf numFmtId="9" fontId="30" fillId="43" borderId="11" xfId="2" applyFont="1" applyFill="1" applyBorder="1"/>
    <xf numFmtId="0" fontId="30" fillId="43" borderId="16" xfId="0" applyFont="1" applyFill="1" applyBorder="1"/>
    <xf numFmtId="0" fontId="33" fillId="0" borderId="11" xfId="0" applyFont="1" applyBorder="1" applyAlignment="1">
      <alignment horizontal="center"/>
    </xf>
    <xf numFmtId="0" fontId="42" fillId="0" borderId="0" xfId="0" applyFont="1" applyAlignment="1">
      <alignment horizontal="center"/>
    </xf>
    <xf numFmtId="0" fontId="43" fillId="0" borderId="0" xfId="0" applyFont="1" applyAlignment="1">
      <alignment horizontal="center"/>
    </xf>
    <xf numFmtId="0" fontId="43" fillId="0" borderId="0" xfId="0" applyFont="1" applyAlignment="1">
      <alignment horizontal="center"/>
    </xf>
    <xf numFmtId="0" fontId="42" fillId="0" borderId="0" xfId="0" applyFont="1" applyAlignment="1">
      <alignment horizontal="center"/>
    </xf>
    <xf numFmtId="0" fontId="30" fillId="0" borderId="10" xfId="0" applyFont="1" applyBorder="1" applyAlignment="1">
      <alignment horizontal="right" vertical="center" indent="1"/>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7">
    <dxf>
      <fill>
        <patternFill>
          <bgColor theme="5" tint="0.59996337778862885"/>
        </patternFill>
      </fill>
    </dxf>
    <dxf>
      <fill>
        <patternFill>
          <bgColor rgb="FFFFB7B7"/>
        </patternFill>
      </fill>
    </dxf>
    <dxf>
      <fill>
        <patternFill>
          <bgColor rgb="FFFF5B5B"/>
        </patternFill>
      </fill>
    </dxf>
    <dxf>
      <fill>
        <patternFill>
          <bgColor theme="9" tint="0.39994506668294322"/>
        </patternFill>
      </fill>
    </dxf>
    <dxf>
      <fill>
        <patternFill>
          <bgColor rgb="FFFF8181"/>
        </patternFill>
      </fill>
    </dxf>
    <dxf>
      <fill>
        <patternFill>
          <bgColor theme="9" tint="0.79998168889431442"/>
        </patternFill>
      </fill>
    </dxf>
    <dxf>
      <fill>
        <patternFill>
          <bgColor theme="9" tint="-0.24994659260841701"/>
        </patternFill>
      </fill>
    </dxf>
  </dxfs>
  <tableStyles count="0" defaultTableStyle="TableStyleMedium2" defaultPivotStyle="PivotStyleLight16"/>
  <colors>
    <mruColors>
      <color rgb="FFFF5B5B"/>
      <color rgb="FFFF9393"/>
      <color rgb="FFFF6165"/>
      <color rgb="FFFF5050"/>
      <color rgb="FFFFB7B7"/>
      <color rgb="FFFF8181"/>
      <color rgb="FFFF9999"/>
      <color rgb="FFAEC698"/>
      <color rgb="FF005E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6782633420822403"/>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'Paypal 3statement Model'!$B$32</c:f>
              <c:strCache>
                <c:ptCount val="1"/>
                <c:pt idx="0">
                  <c:v>Revenue</c:v>
                </c:pt>
              </c:strCache>
            </c:strRef>
          </c:tx>
          <c:spPr>
            <a:ln w="28575" cap="rnd">
              <a:solidFill>
                <a:schemeClr val="accent1"/>
              </a:solidFill>
              <a:round/>
            </a:ln>
            <a:effectLst/>
          </c:spPr>
          <c:marker>
            <c:symbol val="none"/>
          </c:marker>
          <c:cat>
            <c:strRef>
              <c:f>'Paypal 3statement Model'!$C$31:$N$31</c:f>
              <c:strCache>
                <c:ptCount val="12"/>
                <c:pt idx="0">
                  <c:v>Q122</c:v>
                </c:pt>
                <c:pt idx="1">
                  <c:v>Q222</c:v>
                </c:pt>
                <c:pt idx="2">
                  <c:v>Q322</c:v>
                </c:pt>
                <c:pt idx="3">
                  <c:v>Q123</c:v>
                </c:pt>
                <c:pt idx="4">
                  <c:v>Q223</c:v>
                </c:pt>
                <c:pt idx="5">
                  <c:v>Q323</c:v>
                </c:pt>
                <c:pt idx="6">
                  <c:v>Q124</c:v>
                </c:pt>
                <c:pt idx="7">
                  <c:v>Q224</c:v>
                </c:pt>
                <c:pt idx="8">
                  <c:v>Q324</c:v>
                </c:pt>
                <c:pt idx="9">
                  <c:v>Q125</c:v>
                </c:pt>
                <c:pt idx="10">
                  <c:v>Q225</c:v>
                </c:pt>
                <c:pt idx="11">
                  <c:v>Q325</c:v>
                </c:pt>
              </c:strCache>
            </c:strRef>
          </c:cat>
          <c:val>
            <c:numRef>
              <c:f>'Paypal 3statement Model'!$C$32:$N$32</c:f>
              <c:numCache>
                <c:formatCode>#,##0_);\(#,##0\)</c:formatCode>
                <c:ptCount val="12"/>
                <c:pt idx="0">
                  <c:v>6483</c:v>
                </c:pt>
                <c:pt idx="1">
                  <c:v>6806</c:v>
                </c:pt>
                <c:pt idx="2" formatCode="General">
                  <c:v>6846</c:v>
                </c:pt>
                <c:pt idx="3">
                  <c:v>7040</c:v>
                </c:pt>
                <c:pt idx="4">
                  <c:v>7287</c:v>
                </c:pt>
                <c:pt idx="5">
                  <c:v>7418</c:v>
                </c:pt>
                <c:pt idx="6">
                  <c:v>7699</c:v>
                </c:pt>
                <c:pt idx="7">
                  <c:v>7885</c:v>
                </c:pt>
                <c:pt idx="8">
                  <c:v>7847</c:v>
                </c:pt>
                <c:pt idx="9">
                  <c:v>7791</c:v>
                </c:pt>
                <c:pt idx="10">
                  <c:v>8228</c:v>
                </c:pt>
                <c:pt idx="11">
                  <c:v>8417</c:v>
                </c:pt>
              </c:numCache>
            </c:numRef>
          </c:val>
          <c:smooth val="0"/>
          <c:extLst>
            <c:ext xmlns:c16="http://schemas.microsoft.com/office/drawing/2014/chart" uri="{C3380CC4-5D6E-409C-BE32-E72D297353CC}">
              <c16:uniqueId val="{00000000-7443-46C7-A45D-0852A3A06707}"/>
            </c:ext>
          </c:extLst>
        </c:ser>
        <c:dLbls>
          <c:showLegendKey val="0"/>
          <c:showVal val="0"/>
          <c:showCatName val="0"/>
          <c:showSerName val="0"/>
          <c:showPercent val="0"/>
          <c:showBubbleSize val="0"/>
        </c:dLbls>
        <c:smooth val="0"/>
        <c:axId val="1877241040"/>
        <c:axId val="1877245840"/>
        <c:extLst>
          <c:ext xmlns:c15="http://schemas.microsoft.com/office/drawing/2012/chart" uri="{02D57815-91ED-43cb-92C2-25804820EDAC}">
            <c15:filteredLineSeries>
              <c15:ser>
                <c:idx val="1"/>
                <c:order val="1"/>
                <c:tx>
                  <c:strRef>
                    <c:extLst>
                      <c:ext uri="{02D57815-91ED-43cb-92C2-25804820EDAC}">
                        <c15:formulaRef>
                          <c15:sqref>'Paypal 3statement Model'!$B$33</c15:sqref>
                        </c15:formulaRef>
                      </c:ext>
                    </c:extLst>
                    <c:strCache>
                      <c:ptCount val="1"/>
                      <c:pt idx="0">
                        <c:v>Transaction Expense</c:v>
                      </c:pt>
                    </c:strCache>
                  </c:strRef>
                </c:tx>
                <c:spPr>
                  <a:ln w="28575" cap="rnd">
                    <a:solidFill>
                      <a:schemeClr val="accent2"/>
                    </a:solidFill>
                    <a:round/>
                  </a:ln>
                  <a:effectLst/>
                </c:spPr>
                <c:marker>
                  <c:symbol val="none"/>
                </c:marker>
                <c:cat>
                  <c:strRef>
                    <c:extLst>
                      <c:ext uri="{02D57815-91ED-43cb-92C2-25804820EDAC}">
                        <c15:formulaRef>
                          <c15:sqref>'Paypal 3statement Model'!$C$31:$N$31</c15:sqref>
                        </c15:formulaRef>
                      </c:ext>
                    </c:extLst>
                    <c:strCache>
                      <c:ptCount val="12"/>
                      <c:pt idx="0">
                        <c:v>Q122</c:v>
                      </c:pt>
                      <c:pt idx="1">
                        <c:v>Q222</c:v>
                      </c:pt>
                      <c:pt idx="2">
                        <c:v>Q322</c:v>
                      </c:pt>
                      <c:pt idx="3">
                        <c:v>Q123</c:v>
                      </c:pt>
                      <c:pt idx="4">
                        <c:v>Q223</c:v>
                      </c:pt>
                      <c:pt idx="5">
                        <c:v>Q323</c:v>
                      </c:pt>
                      <c:pt idx="6">
                        <c:v>Q124</c:v>
                      </c:pt>
                      <c:pt idx="7">
                        <c:v>Q224</c:v>
                      </c:pt>
                      <c:pt idx="8">
                        <c:v>Q324</c:v>
                      </c:pt>
                      <c:pt idx="9">
                        <c:v>Q125</c:v>
                      </c:pt>
                      <c:pt idx="10">
                        <c:v>Q225</c:v>
                      </c:pt>
                      <c:pt idx="11">
                        <c:v>Q325</c:v>
                      </c:pt>
                    </c:strCache>
                  </c:strRef>
                </c:cat>
                <c:val>
                  <c:numRef>
                    <c:extLst>
                      <c:ext uri="{02D57815-91ED-43cb-92C2-25804820EDAC}">
                        <c15:formulaRef>
                          <c15:sqref>'Paypal 3statement Model'!$C$33:$N$33</c15:sqref>
                        </c15:formulaRef>
                      </c:ext>
                    </c:extLst>
                    <c:numCache>
                      <c:formatCode>#,##0_);\(#,##0\)</c:formatCode>
                      <c:ptCount val="12"/>
                      <c:pt idx="0">
                        <c:v>2817</c:v>
                      </c:pt>
                      <c:pt idx="1">
                        <c:v>3044</c:v>
                      </c:pt>
                      <c:pt idx="2" formatCode="General">
                        <c:v>2988</c:v>
                      </c:pt>
                      <c:pt idx="3">
                        <c:v>3283</c:v>
                      </c:pt>
                      <c:pt idx="4">
                        <c:v>3541</c:v>
                      </c:pt>
                      <c:pt idx="5">
                        <c:v>3603</c:v>
                      </c:pt>
                      <c:pt idx="6">
                        <c:v>3917</c:v>
                      </c:pt>
                      <c:pt idx="7">
                        <c:v>3942</c:v>
                      </c:pt>
                      <c:pt idx="8">
                        <c:v>3841</c:v>
                      </c:pt>
                      <c:pt idx="9">
                        <c:v>3704</c:v>
                      </c:pt>
                      <c:pt idx="10">
                        <c:v>3968</c:v>
                      </c:pt>
                      <c:pt idx="11">
                        <c:v>4063</c:v>
                      </c:pt>
                    </c:numCache>
                  </c:numRef>
                </c:val>
                <c:smooth val="0"/>
                <c:extLst>
                  <c:ext xmlns:c16="http://schemas.microsoft.com/office/drawing/2014/chart" uri="{C3380CC4-5D6E-409C-BE32-E72D297353CC}">
                    <c16:uniqueId val="{00000001-7443-46C7-A45D-0852A3A06707}"/>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'Paypal 3statement Model'!$B$34</c15:sqref>
                        </c15:formulaRef>
                      </c:ext>
                    </c:extLst>
                    <c:strCache>
                      <c:ptCount val="1"/>
                      <c:pt idx="0">
                        <c:v>Transaction and Credit losses</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'Paypal 3statement Model'!$C$31:$N$31</c15:sqref>
                        </c15:formulaRef>
                      </c:ext>
                    </c:extLst>
                    <c:strCache>
                      <c:ptCount val="12"/>
                      <c:pt idx="0">
                        <c:v>Q122</c:v>
                      </c:pt>
                      <c:pt idx="1">
                        <c:v>Q222</c:v>
                      </c:pt>
                      <c:pt idx="2">
                        <c:v>Q322</c:v>
                      </c:pt>
                      <c:pt idx="3">
                        <c:v>Q123</c:v>
                      </c:pt>
                      <c:pt idx="4">
                        <c:v>Q223</c:v>
                      </c:pt>
                      <c:pt idx="5">
                        <c:v>Q323</c:v>
                      </c:pt>
                      <c:pt idx="6">
                        <c:v>Q124</c:v>
                      </c:pt>
                      <c:pt idx="7">
                        <c:v>Q224</c:v>
                      </c:pt>
                      <c:pt idx="8">
                        <c:v>Q324</c:v>
                      </c:pt>
                      <c:pt idx="9">
                        <c:v>Q125</c:v>
                      </c:pt>
                      <c:pt idx="10">
                        <c:v>Q225</c:v>
                      </c:pt>
                      <c:pt idx="11">
                        <c:v>Q325</c:v>
                      </c:pt>
                    </c:strCache>
                  </c:strRef>
                </c:cat>
                <c:val>
                  <c:numRef>
                    <c:extLst xmlns:c15="http://schemas.microsoft.com/office/drawing/2012/chart">
                      <c:ext xmlns:c15="http://schemas.microsoft.com/office/drawing/2012/chart" uri="{02D57815-91ED-43cb-92C2-25804820EDAC}">
                        <c15:formulaRef>
                          <c15:sqref>'Paypal 3statement Model'!$C$34:$N$34</c15:sqref>
                        </c15:formulaRef>
                      </c:ext>
                    </c:extLst>
                    <c:numCache>
                      <c:formatCode>#,##0_);\(#,##0\)</c:formatCode>
                      <c:ptCount val="12"/>
                      <c:pt idx="0">
                        <c:v>369</c:v>
                      </c:pt>
                      <c:pt idx="1">
                        <c:v>448</c:v>
                      </c:pt>
                      <c:pt idx="2" formatCode="General">
                        <c:v>367</c:v>
                      </c:pt>
                      <c:pt idx="3">
                        <c:v>442</c:v>
                      </c:pt>
                      <c:pt idx="4">
                        <c:v>398</c:v>
                      </c:pt>
                      <c:pt idx="5">
                        <c:v>446</c:v>
                      </c:pt>
                      <c:pt idx="6">
                        <c:v>321</c:v>
                      </c:pt>
                      <c:pt idx="7">
                        <c:v>335</c:v>
                      </c:pt>
                      <c:pt idx="8">
                        <c:v>352</c:v>
                      </c:pt>
                      <c:pt idx="9">
                        <c:v>371</c:v>
                      </c:pt>
                      <c:pt idx="10">
                        <c:v>476</c:v>
                      </c:pt>
                      <c:pt idx="11">
                        <c:v>483</c:v>
                      </c:pt>
                    </c:numCache>
                  </c:numRef>
                </c:val>
                <c:smooth val="0"/>
                <c:extLst xmlns:c15="http://schemas.microsoft.com/office/drawing/2012/chart">
                  <c:ext xmlns:c16="http://schemas.microsoft.com/office/drawing/2014/chart" uri="{C3380CC4-5D6E-409C-BE32-E72D297353CC}">
                    <c16:uniqueId val="{00000002-7443-46C7-A45D-0852A3A06707}"/>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'Paypal 3statement Model'!$B$35</c15:sqref>
                        </c15:formulaRef>
                      </c:ext>
                    </c:extLst>
                    <c:strCache>
                      <c:ptCount val="1"/>
                      <c:pt idx="0">
                        <c:v>Customer Support and Operations</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'Paypal 3statement Model'!$C$31:$N$31</c15:sqref>
                        </c15:formulaRef>
                      </c:ext>
                    </c:extLst>
                    <c:strCache>
                      <c:ptCount val="12"/>
                      <c:pt idx="0">
                        <c:v>Q122</c:v>
                      </c:pt>
                      <c:pt idx="1">
                        <c:v>Q222</c:v>
                      </c:pt>
                      <c:pt idx="2">
                        <c:v>Q322</c:v>
                      </c:pt>
                      <c:pt idx="3">
                        <c:v>Q123</c:v>
                      </c:pt>
                      <c:pt idx="4">
                        <c:v>Q223</c:v>
                      </c:pt>
                      <c:pt idx="5">
                        <c:v>Q323</c:v>
                      </c:pt>
                      <c:pt idx="6">
                        <c:v>Q124</c:v>
                      </c:pt>
                      <c:pt idx="7">
                        <c:v>Q224</c:v>
                      </c:pt>
                      <c:pt idx="8">
                        <c:v>Q324</c:v>
                      </c:pt>
                      <c:pt idx="9">
                        <c:v>Q125</c:v>
                      </c:pt>
                      <c:pt idx="10">
                        <c:v>Q225</c:v>
                      </c:pt>
                      <c:pt idx="11">
                        <c:v>Q325</c:v>
                      </c:pt>
                    </c:strCache>
                  </c:strRef>
                </c:cat>
                <c:val>
                  <c:numRef>
                    <c:extLst xmlns:c15="http://schemas.microsoft.com/office/drawing/2012/chart">
                      <c:ext xmlns:c15="http://schemas.microsoft.com/office/drawing/2012/chart" uri="{02D57815-91ED-43cb-92C2-25804820EDAC}">
                        <c15:formulaRef>
                          <c15:sqref>'Paypal 3statement Model'!$C$35:$N$35</c15:sqref>
                        </c15:formulaRef>
                      </c:ext>
                    </c:extLst>
                    <c:numCache>
                      <c:formatCode>#,##0_);\(#,##0\)</c:formatCode>
                      <c:ptCount val="12"/>
                      <c:pt idx="0">
                        <c:v>534</c:v>
                      </c:pt>
                      <c:pt idx="1">
                        <c:v>536</c:v>
                      </c:pt>
                      <c:pt idx="2" formatCode="General">
                        <c:v>509</c:v>
                      </c:pt>
                      <c:pt idx="3">
                        <c:v>488</c:v>
                      </c:pt>
                      <c:pt idx="4">
                        <c:v>492</c:v>
                      </c:pt>
                      <c:pt idx="5">
                        <c:v>474</c:v>
                      </c:pt>
                      <c:pt idx="6">
                        <c:v>454</c:v>
                      </c:pt>
                      <c:pt idx="7">
                        <c:v>436</c:v>
                      </c:pt>
                      <c:pt idx="8">
                        <c:v>427</c:v>
                      </c:pt>
                      <c:pt idx="9">
                        <c:v>398</c:v>
                      </c:pt>
                      <c:pt idx="10">
                        <c:v>413</c:v>
                      </c:pt>
                      <c:pt idx="11">
                        <c:v>447</c:v>
                      </c:pt>
                    </c:numCache>
                  </c:numRef>
                </c:val>
                <c:smooth val="0"/>
                <c:extLst xmlns:c15="http://schemas.microsoft.com/office/drawing/2012/chart">
                  <c:ext xmlns:c16="http://schemas.microsoft.com/office/drawing/2014/chart" uri="{C3380CC4-5D6E-409C-BE32-E72D297353CC}">
                    <c16:uniqueId val="{00000003-7443-46C7-A45D-0852A3A06707}"/>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'Paypal 3statement Model'!$B$36</c15:sqref>
                        </c15:formulaRef>
                      </c:ext>
                    </c:extLst>
                    <c:strCache>
                      <c:ptCount val="1"/>
                      <c:pt idx="0">
                        <c:v>S&amp;M</c:v>
                      </c:pt>
                    </c:strCache>
                  </c:strRef>
                </c:tx>
                <c:spPr>
                  <a:ln w="28575" cap="rnd">
                    <a:solidFill>
                      <a:schemeClr val="accent5"/>
                    </a:solidFill>
                    <a:round/>
                  </a:ln>
                  <a:effectLst/>
                </c:spPr>
                <c:marker>
                  <c:symbol val="none"/>
                </c:marker>
                <c:cat>
                  <c:strRef>
                    <c:extLst xmlns:c15="http://schemas.microsoft.com/office/drawing/2012/chart">
                      <c:ext xmlns:c15="http://schemas.microsoft.com/office/drawing/2012/chart" uri="{02D57815-91ED-43cb-92C2-25804820EDAC}">
                        <c15:formulaRef>
                          <c15:sqref>'Paypal 3statement Model'!$C$31:$N$31</c15:sqref>
                        </c15:formulaRef>
                      </c:ext>
                    </c:extLst>
                    <c:strCache>
                      <c:ptCount val="12"/>
                      <c:pt idx="0">
                        <c:v>Q122</c:v>
                      </c:pt>
                      <c:pt idx="1">
                        <c:v>Q222</c:v>
                      </c:pt>
                      <c:pt idx="2">
                        <c:v>Q322</c:v>
                      </c:pt>
                      <c:pt idx="3">
                        <c:v>Q123</c:v>
                      </c:pt>
                      <c:pt idx="4">
                        <c:v>Q223</c:v>
                      </c:pt>
                      <c:pt idx="5">
                        <c:v>Q323</c:v>
                      </c:pt>
                      <c:pt idx="6">
                        <c:v>Q124</c:v>
                      </c:pt>
                      <c:pt idx="7">
                        <c:v>Q224</c:v>
                      </c:pt>
                      <c:pt idx="8">
                        <c:v>Q324</c:v>
                      </c:pt>
                      <c:pt idx="9">
                        <c:v>Q125</c:v>
                      </c:pt>
                      <c:pt idx="10">
                        <c:v>Q225</c:v>
                      </c:pt>
                      <c:pt idx="11">
                        <c:v>Q325</c:v>
                      </c:pt>
                    </c:strCache>
                  </c:strRef>
                </c:cat>
                <c:val>
                  <c:numRef>
                    <c:extLst xmlns:c15="http://schemas.microsoft.com/office/drawing/2012/chart">
                      <c:ext xmlns:c15="http://schemas.microsoft.com/office/drawing/2012/chart" uri="{02D57815-91ED-43cb-92C2-25804820EDAC}">
                        <c15:formulaRef>
                          <c15:sqref>'Paypal 3statement Model'!$C$36:$N$36</c15:sqref>
                        </c15:formulaRef>
                      </c:ext>
                    </c:extLst>
                    <c:numCache>
                      <c:formatCode>#,##0_);\(#,##0\)</c:formatCode>
                      <c:ptCount val="12"/>
                      <c:pt idx="0">
                        <c:v>-1510</c:v>
                      </c:pt>
                      <c:pt idx="1">
                        <c:v>-1416</c:v>
                      </c:pt>
                      <c:pt idx="2" formatCode="General">
                        <c:v>-1515</c:v>
                      </c:pt>
                      <c:pt idx="3">
                        <c:v>-1554</c:v>
                      </c:pt>
                      <c:pt idx="4">
                        <c:v>-1484</c:v>
                      </c:pt>
                      <c:pt idx="5">
                        <c:v>-1462</c:v>
                      </c:pt>
                      <c:pt idx="6">
                        <c:v>-1478</c:v>
                      </c:pt>
                      <c:pt idx="7">
                        <c:v>-1422</c:v>
                      </c:pt>
                      <c:pt idx="8">
                        <c:v>-1416</c:v>
                      </c:pt>
                      <c:pt idx="9">
                        <c:v>-448</c:v>
                      </c:pt>
                      <c:pt idx="10">
                        <c:v>-371</c:v>
                      </c:pt>
                      <c:pt idx="11">
                        <c:v>-422</c:v>
                      </c:pt>
                    </c:numCache>
                  </c:numRef>
                </c:val>
                <c:smooth val="0"/>
                <c:extLst xmlns:c15="http://schemas.microsoft.com/office/drawing/2012/chart">
                  <c:ext xmlns:c16="http://schemas.microsoft.com/office/drawing/2014/chart" uri="{C3380CC4-5D6E-409C-BE32-E72D297353CC}">
                    <c16:uniqueId val="{00000004-7443-46C7-A45D-0852A3A06707}"/>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'Paypal 3statement Model'!$B$37</c15:sqref>
                        </c15:formulaRef>
                      </c:ext>
                    </c:extLst>
                    <c:strCache>
                      <c:ptCount val="1"/>
                      <c:pt idx="0">
                        <c:v>R&amp;D</c:v>
                      </c:pt>
                    </c:strCache>
                  </c:strRef>
                </c:tx>
                <c:spPr>
                  <a:ln w="28575" cap="rnd">
                    <a:solidFill>
                      <a:schemeClr val="accent6"/>
                    </a:solidFill>
                    <a:round/>
                  </a:ln>
                  <a:effectLst/>
                </c:spPr>
                <c:marker>
                  <c:symbol val="none"/>
                </c:marker>
                <c:cat>
                  <c:strRef>
                    <c:extLst xmlns:c15="http://schemas.microsoft.com/office/drawing/2012/chart">
                      <c:ext xmlns:c15="http://schemas.microsoft.com/office/drawing/2012/chart" uri="{02D57815-91ED-43cb-92C2-25804820EDAC}">
                        <c15:formulaRef>
                          <c15:sqref>'Paypal 3statement Model'!$C$31:$N$31</c15:sqref>
                        </c15:formulaRef>
                      </c:ext>
                    </c:extLst>
                    <c:strCache>
                      <c:ptCount val="12"/>
                      <c:pt idx="0">
                        <c:v>Q122</c:v>
                      </c:pt>
                      <c:pt idx="1">
                        <c:v>Q222</c:v>
                      </c:pt>
                      <c:pt idx="2">
                        <c:v>Q322</c:v>
                      </c:pt>
                      <c:pt idx="3">
                        <c:v>Q123</c:v>
                      </c:pt>
                      <c:pt idx="4">
                        <c:v>Q223</c:v>
                      </c:pt>
                      <c:pt idx="5">
                        <c:v>Q323</c:v>
                      </c:pt>
                      <c:pt idx="6">
                        <c:v>Q124</c:v>
                      </c:pt>
                      <c:pt idx="7">
                        <c:v>Q224</c:v>
                      </c:pt>
                      <c:pt idx="8">
                        <c:v>Q324</c:v>
                      </c:pt>
                      <c:pt idx="9">
                        <c:v>Q125</c:v>
                      </c:pt>
                      <c:pt idx="10">
                        <c:v>Q225</c:v>
                      </c:pt>
                      <c:pt idx="11">
                        <c:v>Q325</c:v>
                      </c:pt>
                    </c:strCache>
                  </c:strRef>
                </c:cat>
                <c:val>
                  <c:numRef>
                    <c:extLst xmlns:c15="http://schemas.microsoft.com/office/drawing/2012/chart">
                      <c:ext xmlns:c15="http://schemas.microsoft.com/office/drawing/2012/chart" uri="{02D57815-91ED-43cb-92C2-25804820EDAC}">
                        <c15:formulaRef>
                          <c15:sqref>'Paypal 3statement Model'!$C$37:$N$37</c15:sqref>
                        </c15:formulaRef>
                      </c:ext>
                    </c:extLst>
                    <c:numCache>
                      <c:formatCode>#,##0_);\(#,##0\)</c:formatCode>
                      <c:ptCount val="12"/>
                      <c:pt idx="0">
                        <c:v>-747</c:v>
                      </c:pt>
                      <c:pt idx="1">
                        <c:v>-712</c:v>
                      </c:pt>
                      <c:pt idx="2" formatCode="General">
                        <c:v>-736</c:v>
                      </c:pt>
                      <c:pt idx="3">
                        <c:v>-797</c:v>
                      </c:pt>
                      <c:pt idx="4">
                        <c:v>-754</c:v>
                      </c:pt>
                      <c:pt idx="5">
                        <c:v>-700</c:v>
                      </c:pt>
                      <c:pt idx="6">
                        <c:v>-698</c:v>
                      </c:pt>
                      <c:pt idx="7">
                        <c:v>-719</c:v>
                      </c:pt>
                      <c:pt idx="8">
                        <c:v>-701</c:v>
                      </c:pt>
                      <c:pt idx="9">
                        <c:v>548</c:v>
                      </c:pt>
                      <c:pt idx="10">
                        <c:v>572</c:v>
                      </c:pt>
                      <c:pt idx="11">
                        <c:v>605</c:v>
                      </c:pt>
                    </c:numCache>
                  </c:numRef>
                </c:val>
                <c:smooth val="0"/>
                <c:extLst xmlns:c15="http://schemas.microsoft.com/office/drawing/2012/chart">
                  <c:ext xmlns:c16="http://schemas.microsoft.com/office/drawing/2014/chart" uri="{C3380CC4-5D6E-409C-BE32-E72D297353CC}">
                    <c16:uniqueId val="{00000005-7443-46C7-A45D-0852A3A06707}"/>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'Paypal 3statement Model'!$B$38</c15:sqref>
                        </c15:formulaRef>
                      </c:ext>
                    </c:extLst>
                    <c:strCache>
                      <c:ptCount val="1"/>
                      <c:pt idx="0">
                        <c:v>G&amp;A</c:v>
                      </c:pt>
                    </c:strCache>
                  </c:strRef>
                </c:tx>
                <c:spPr>
                  <a:ln w="28575" cap="rnd">
                    <a:solidFill>
                      <a:schemeClr val="accent1">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'Paypal 3statement Model'!$C$31:$N$31</c15:sqref>
                        </c15:formulaRef>
                      </c:ext>
                    </c:extLst>
                    <c:strCache>
                      <c:ptCount val="12"/>
                      <c:pt idx="0">
                        <c:v>Q122</c:v>
                      </c:pt>
                      <c:pt idx="1">
                        <c:v>Q222</c:v>
                      </c:pt>
                      <c:pt idx="2">
                        <c:v>Q322</c:v>
                      </c:pt>
                      <c:pt idx="3">
                        <c:v>Q123</c:v>
                      </c:pt>
                      <c:pt idx="4">
                        <c:v>Q223</c:v>
                      </c:pt>
                      <c:pt idx="5">
                        <c:v>Q323</c:v>
                      </c:pt>
                      <c:pt idx="6">
                        <c:v>Q124</c:v>
                      </c:pt>
                      <c:pt idx="7">
                        <c:v>Q224</c:v>
                      </c:pt>
                      <c:pt idx="8">
                        <c:v>Q324</c:v>
                      </c:pt>
                      <c:pt idx="9">
                        <c:v>Q125</c:v>
                      </c:pt>
                      <c:pt idx="10">
                        <c:v>Q225</c:v>
                      </c:pt>
                      <c:pt idx="11">
                        <c:v>Q325</c:v>
                      </c:pt>
                    </c:strCache>
                  </c:strRef>
                </c:cat>
                <c:val>
                  <c:numRef>
                    <c:extLst xmlns:c15="http://schemas.microsoft.com/office/drawing/2012/chart">
                      <c:ext xmlns:c15="http://schemas.microsoft.com/office/drawing/2012/chart" uri="{02D57815-91ED-43cb-92C2-25804820EDAC}">
                        <c15:formulaRef>
                          <c15:sqref>'Paypal 3statement Model'!$C$38:$N$38</c15:sqref>
                        </c15:formulaRef>
                      </c:ext>
                    </c:extLst>
                    <c:numCache>
                      <c:formatCode>#,##0_);\(#,##0\)</c:formatCode>
                      <c:ptCount val="12"/>
                      <c:pt idx="0">
                        <c:v>607</c:v>
                      </c:pt>
                      <c:pt idx="1">
                        <c:v>514</c:v>
                      </c:pt>
                      <c:pt idx="2" formatCode="General">
                        <c:v>463</c:v>
                      </c:pt>
                      <c:pt idx="3">
                        <c:v>507</c:v>
                      </c:pt>
                      <c:pt idx="4">
                        <c:v>491</c:v>
                      </c:pt>
                      <c:pt idx="5">
                        <c:v>507</c:v>
                      </c:pt>
                      <c:pt idx="6">
                        <c:v>464</c:v>
                      </c:pt>
                      <c:pt idx="7">
                        <c:v>570</c:v>
                      </c:pt>
                      <c:pt idx="8">
                        <c:v>519</c:v>
                      </c:pt>
                      <c:pt idx="9">
                        <c:v>503</c:v>
                      </c:pt>
                      <c:pt idx="10">
                        <c:v>461</c:v>
                      </c:pt>
                      <c:pt idx="11">
                        <c:v>513</c:v>
                      </c:pt>
                    </c:numCache>
                  </c:numRef>
                </c:val>
                <c:smooth val="0"/>
                <c:extLst xmlns:c15="http://schemas.microsoft.com/office/drawing/2012/chart">
                  <c:ext xmlns:c16="http://schemas.microsoft.com/office/drawing/2014/chart" uri="{C3380CC4-5D6E-409C-BE32-E72D297353CC}">
                    <c16:uniqueId val="{00000006-7443-46C7-A45D-0852A3A06707}"/>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'Paypal 3statement Model'!$B$39</c15:sqref>
                        </c15:formulaRef>
                      </c:ext>
                    </c:extLst>
                    <c:strCache>
                      <c:ptCount val="1"/>
                      <c:pt idx="0">
                        <c:v>Restructuring and other</c:v>
                      </c:pt>
                    </c:strCache>
                  </c:strRef>
                </c:tx>
                <c:spPr>
                  <a:ln w="28575" cap="rnd">
                    <a:solidFill>
                      <a:schemeClr val="accent2">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'Paypal 3statement Model'!$C$31:$N$31</c15:sqref>
                        </c15:formulaRef>
                      </c:ext>
                    </c:extLst>
                    <c:strCache>
                      <c:ptCount val="12"/>
                      <c:pt idx="0">
                        <c:v>Q122</c:v>
                      </c:pt>
                      <c:pt idx="1">
                        <c:v>Q222</c:v>
                      </c:pt>
                      <c:pt idx="2">
                        <c:v>Q322</c:v>
                      </c:pt>
                      <c:pt idx="3">
                        <c:v>Q123</c:v>
                      </c:pt>
                      <c:pt idx="4">
                        <c:v>Q223</c:v>
                      </c:pt>
                      <c:pt idx="5">
                        <c:v>Q323</c:v>
                      </c:pt>
                      <c:pt idx="6">
                        <c:v>Q124</c:v>
                      </c:pt>
                      <c:pt idx="7">
                        <c:v>Q224</c:v>
                      </c:pt>
                      <c:pt idx="8">
                        <c:v>Q324</c:v>
                      </c:pt>
                      <c:pt idx="9">
                        <c:v>Q125</c:v>
                      </c:pt>
                      <c:pt idx="10">
                        <c:v>Q225</c:v>
                      </c:pt>
                      <c:pt idx="11">
                        <c:v>Q325</c:v>
                      </c:pt>
                    </c:strCache>
                  </c:strRef>
                </c:cat>
                <c:val>
                  <c:numRef>
                    <c:extLst xmlns:c15="http://schemas.microsoft.com/office/drawing/2012/chart">
                      <c:ext xmlns:c15="http://schemas.microsoft.com/office/drawing/2012/chart" uri="{02D57815-91ED-43cb-92C2-25804820EDAC}">
                        <c15:formulaRef>
                          <c15:sqref>'Paypal 3statement Model'!$C$39:$N$39</c15:sqref>
                        </c15:formulaRef>
                      </c:ext>
                    </c:extLst>
                    <c:numCache>
                      <c:formatCode>#,##0_);\(#,##0\)</c:formatCode>
                      <c:ptCount val="12"/>
                      <c:pt idx="0">
                        <c:v>36</c:v>
                      </c:pt>
                      <c:pt idx="1">
                        <c:v>90</c:v>
                      </c:pt>
                      <c:pt idx="2" formatCode="General">
                        <c:v>56</c:v>
                      </c:pt>
                      <c:pt idx="3">
                        <c:v>164</c:v>
                      </c:pt>
                      <c:pt idx="4">
                        <c:v>24</c:v>
                      </c:pt>
                      <c:pt idx="5">
                        <c:v>39</c:v>
                      </c:pt>
                      <c:pt idx="6">
                        <c:v>212</c:v>
                      </c:pt>
                      <c:pt idx="7">
                        <c:v>113</c:v>
                      </c:pt>
                      <c:pt idx="8">
                        <c:v>63</c:v>
                      </c:pt>
                      <c:pt idx="9">
                        <c:v>66</c:v>
                      </c:pt>
                      <c:pt idx="10">
                        <c:v>116</c:v>
                      </c:pt>
                      <c:pt idx="11">
                        <c:v>69</c:v>
                      </c:pt>
                    </c:numCache>
                  </c:numRef>
                </c:val>
                <c:smooth val="0"/>
                <c:extLst xmlns:c15="http://schemas.microsoft.com/office/drawing/2012/chart">
                  <c:ext xmlns:c16="http://schemas.microsoft.com/office/drawing/2014/chart" uri="{C3380CC4-5D6E-409C-BE32-E72D297353CC}">
                    <c16:uniqueId val="{00000007-7443-46C7-A45D-0852A3A06707}"/>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'Paypal 3statement Model'!$B$40</c15:sqref>
                        </c15:formulaRef>
                      </c:ext>
                    </c:extLst>
                    <c:strCache>
                      <c:ptCount val="1"/>
                      <c:pt idx="0">
                        <c:v>COGS</c:v>
                      </c:pt>
                    </c:strCache>
                  </c:strRef>
                </c:tx>
                <c:spPr>
                  <a:ln w="28575" cap="rnd">
                    <a:solidFill>
                      <a:schemeClr val="accent3">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'Paypal 3statement Model'!$C$31:$N$31</c15:sqref>
                        </c15:formulaRef>
                      </c:ext>
                    </c:extLst>
                    <c:strCache>
                      <c:ptCount val="12"/>
                      <c:pt idx="0">
                        <c:v>Q122</c:v>
                      </c:pt>
                      <c:pt idx="1">
                        <c:v>Q222</c:v>
                      </c:pt>
                      <c:pt idx="2">
                        <c:v>Q322</c:v>
                      </c:pt>
                      <c:pt idx="3">
                        <c:v>Q123</c:v>
                      </c:pt>
                      <c:pt idx="4">
                        <c:v>Q223</c:v>
                      </c:pt>
                      <c:pt idx="5">
                        <c:v>Q323</c:v>
                      </c:pt>
                      <c:pt idx="6">
                        <c:v>Q124</c:v>
                      </c:pt>
                      <c:pt idx="7">
                        <c:v>Q224</c:v>
                      </c:pt>
                      <c:pt idx="8">
                        <c:v>Q324</c:v>
                      </c:pt>
                      <c:pt idx="9">
                        <c:v>Q125</c:v>
                      </c:pt>
                      <c:pt idx="10">
                        <c:v>Q225</c:v>
                      </c:pt>
                      <c:pt idx="11">
                        <c:v>Q325</c:v>
                      </c:pt>
                    </c:strCache>
                  </c:strRef>
                </c:cat>
                <c:val>
                  <c:numRef>
                    <c:extLst xmlns:c15="http://schemas.microsoft.com/office/drawing/2012/chart">
                      <c:ext xmlns:c15="http://schemas.microsoft.com/office/drawing/2012/chart" uri="{02D57815-91ED-43cb-92C2-25804820EDAC}">
                        <c15:formulaRef>
                          <c15:sqref>'Paypal 3statement Model'!$C$40:$N$40</c15:sqref>
                        </c15:formulaRef>
                      </c:ext>
                    </c:extLst>
                    <c:numCache>
                      <c:formatCode>#,##0_);\(#,##0\)</c:formatCode>
                      <c:ptCount val="12"/>
                      <c:pt idx="0">
                        <c:v>2106</c:v>
                      </c:pt>
                      <c:pt idx="1">
                        <c:v>2504</c:v>
                      </c:pt>
                      <c:pt idx="2">
                        <c:v>2132</c:v>
                      </c:pt>
                      <c:pt idx="3">
                        <c:v>2533</c:v>
                      </c:pt>
                      <c:pt idx="4">
                        <c:v>2708</c:v>
                      </c:pt>
                      <c:pt idx="5">
                        <c:v>2907</c:v>
                      </c:pt>
                      <c:pt idx="6">
                        <c:v>3192</c:v>
                      </c:pt>
                      <c:pt idx="7">
                        <c:v>3255</c:v>
                      </c:pt>
                      <c:pt idx="8">
                        <c:v>3085</c:v>
                      </c:pt>
                      <c:pt idx="9">
                        <c:v>5142</c:v>
                      </c:pt>
                      <c:pt idx="10">
                        <c:v>5635</c:v>
                      </c:pt>
                      <c:pt idx="11">
                        <c:v>5758</c:v>
                      </c:pt>
                    </c:numCache>
                  </c:numRef>
                </c:val>
                <c:smooth val="0"/>
                <c:extLst xmlns:c15="http://schemas.microsoft.com/office/drawing/2012/chart">
                  <c:ext xmlns:c16="http://schemas.microsoft.com/office/drawing/2014/chart" uri="{C3380CC4-5D6E-409C-BE32-E72D297353CC}">
                    <c16:uniqueId val="{00000008-7443-46C7-A45D-0852A3A06707}"/>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'Paypal 3statement Model'!$B$41</c15:sqref>
                        </c15:formulaRef>
                      </c:ext>
                    </c:extLst>
                    <c:strCache>
                      <c:ptCount val="1"/>
                      <c:pt idx="0">
                        <c:v>EBITDA</c:v>
                      </c:pt>
                    </c:strCache>
                  </c:strRef>
                </c:tx>
                <c:spPr>
                  <a:ln w="28575" cap="rnd">
                    <a:solidFill>
                      <a:schemeClr val="accent4">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'Paypal 3statement Model'!$C$31:$N$31</c15:sqref>
                        </c15:formulaRef>
                      </c:ext>
                    </c:extLst>
                    <c:strCache>
                      <c:ptCount val="12"/>
                      <c:pt idx="0">
                        <c:v>Q122</c:v>
                      </c:pt>
                      <c:pt idx="1">
                        <c:v>Q222</c:v>
                      </c:pt>
                      <c:pt idx="2">
                        <c:v>Q322</c:v>
                      </c:pt>
                      <c:pt idx="3">
                        <c:v>Q123</c:v>
                      </c:pt>
                      <c:pt idx="4">
                        <c:v>Q223</c:v>
                      </c:pt>
                      <c:pt idx="5">
                        <c:v>Q323</c:v>
                      </c:pt>
                      <c:pt idx="6">
                        <c:v>Q124</c:v>
                      </c:pt>
                      <c:pt idx="7">
                        <c:v>Q224</c:v>
                      </c:pt>
                      <c:pt idx="8">
                        <c:v>Q324</c:v>
                      </c:pt>
                      <c:pt idx="9">
                        <c:v>Q125</c:v>
                      </c:pt>
                      <c:pt idx="10">
                        <c:v>Q225</c:v>
                      </c:pt>
                      <c:pt idx="11">
                        <c:v>Q325</c:v>
                      </c:pt>
                    </c:strCache>
                  </c:strRef>
                </c:cat>
                <c:val>
                  <c:numRef>
                    <c:extLst xmlns:c15="http://schemas.microsoft.com/office/drawing/2012/chart">
                      <c:ext xmlns:c15="http://schemas.microsoft.com/office/drawing/2012/chart" uri="{02D57815-91ED-43cb-92C2-25804820EDAC}">
                        <c15:formulaRef>
                          <c15:sqref>'Paypal 3statement Model'!$C$41:$N$41</c15:sqref>
                        </c15:formulaRef>
                      </c:ext>
                    </c:extLst>
                    <c:numCache>
                      <c:formatCode>#,##0_);\(#,##0\)</c:formatCode>
                      <c:ptCount val="12"/>
                      <c:pt idx="0">
                        <c:v>4377</c:v>
                      </c:pt>
                      <c:pt idx="1">
                        <c:v>4302</c:v>
                      </c:pt>
                      <c:pt idx="2">
                        <c:v>4714</c:v>
                      </c:pt>
                      <c:pt idx="3">
                        <c:v>4507</c:v>
                      </c:pt>
                      <c:pt idx="4">
                        <c:v>4579</c:v>
                      </c:pt>
                      <c:pt idx="5">
                        <c:v>4511</c:v>
                      </c:pt>
                      <c:pt idx="6">
                        <c:v>4507</c:v>
                      </c:pt>
                      <c:pt idx="7">
                        <c:v>4630</c:v>
                      </c:pt>
                      <c:pt idx="8">
                        <c:v>4762</c:v>
                      </c:pt>
                      <c:pt idx="9">
                        <c:v>2649</c:v>
                      </c:pt>
                      <c:pt idx="10">
                        <c:v>2593</c:v>
                      </c:pt>
                      <c:pt idx="11">
                        <c:v>2659</c:v>
                      </c:pt>
                    </c:numCache>
                  </c:numRef>
                </c:val>
                <c:smooth val="0"/>
                <c:extLst xmlns:c15="http://schemas.microsoft.com/office/drawing/2012/chart">
                  <c:ext xmlns:c16="http://schemas.microsoft.com/office/drawing/2014/chart" uri="{C3380CC4-5D6E-409C-BE32-E72D297353CC}">
                    <c16:uniqueId val="{00000009-7443-46C7-A45D-0852A3A06707}"/>
                  </c:ext>
                </c:extLst>
              </c15:ser>
            </c15:filteredLineSeries>
          </c:ext>
        </c:extLst>
      </c:lineChart>
      <c:catAx>
        <c:axId val="187724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245840"/>
        <c:crosses val="autoZero"/>
        <c:auto val="1"/>
        <c:lblAlgn val="ctr"/>
        <c:lblOffset val="100"/>
        <c:noMultiLvlLbl val="0"/>
      </c:catAx>
      <c:valAx>
        <c:axId val="1877245840"/>
        <c:scaling>
          <c:orientation val="minMax"/>
          <c:min val="6000"/>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241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Earnings</a:t>
            </a:r>
            <a:r>
              <a:rPr lang="en-US" baseline="0"/>
              <a:t> before Interest Taxes Depreciation Ammortization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9"/>
          <c:order val="9"/>
          <c:tx>
            <c:strRef>
              <c:f>'Paypal 3statement Model'!$B$41</c:f>
              <c:strCache>
                <c:ptCount val="1"/>
                <c:pt idx="0">
                  <c:v>EBITDA</c:v>
                </c:pt>
              </c:strCache>
            </c:strRef>
          </c:tx>
          <c:spPr>
            <a:ln w="28575" cap="rnd">
              <a:solidFill>
                <a:schemeClr val="accent4">
                  <a:lumMod val="60000"/>
                </a:schemeClr>
              </a:solidFill>
              <a:round/>
            </a:ln>
            <a:effectLst/>
          </c:spPr>
          <c:marker>
            <c:symbol val="none"/>
          </c:marker>
          <c:cat>
            <c:strRef>
              <c:f>'Paypal 3statement Model'!$C$31:$N$31</c:f>
              <c:strCache>
                <c:ptCount val="12"/>
                <c:pt idx="0">
                  <c:v>Q122</c:v>
                </c:pt>
                <c:pt idx="1">
                  <c:v>Q222</c:v>
                </c:pt>
                <c:pt idx="2">
                  <c:v>Q322</c:v>
                </c:pt>
                <c:pt idx="3">
                  <c:v>Q123</c:v>
                </c:pt>
                <c:pt idx="4">
                  <c:v>Q223</c:v>
                </c:pt>
                <c:pt idx="5">
                  <c:v>Q323</c:v>
                </c:pt>
                <c:pt idx="6">
                  <c:v>Q124</c:v>
                </c:pt>
                <c:pt idx="7">
                  <c:v>Q224</c:v>
                </c:pt>
                <c:pt idx="8">
                  <c:v>Q324</c:v>
                </c:pt>
                <c:pt idx="9">
                  <c:v>Q125</c:v>
                </c:pt>
                <c:pt idx="10">
                  <c:v>Q225</c:v>
                </c:pt>
                <c:pt idx="11">
                  <c:v>Q325</c:v>
                </c:pt>
              </c:strCache>
            </c:strRef>
          </c:cat>
          <c:val>
            <c:numRef>
              <c:f>'Paypal 3statement Model'!$C$41:$N$41</c:f>
              <c:numCache>
                <c:formatCode>#,##0_);\(#,##0\)</c:formatCode>
                <c:ptCount val="12"/>
                <c:pt idx="0">
                  <c:v>4377</c:v>
                </c:pt>
                <c:pt idx="1">
                  <c:v>4302</c:v>
                </c:pt>
                <c:pt idx="2">
                  <c:v>4714</c:v>
                </c:pt>
                <c:pt idx="3">
                  <c:v>4507</c:v>
                </c:pt>
                <c:pt idx="4">
                  <c:v>4579</c:v>
                </c:pt>
                <c:pt idx="5">
                  <c:v>4511</c:v>
                </c:pt>
                <c:pt idx="6">
                  <c:v>4507</c:v>
                </c:pt>
                <c:pt idx="7">
                  <c:v>4630</c:v>
                </c:pt>
                <c:pt idx="8">
                  <c:v>4762</c:v>
                </c:pt>
                <c:pt idx="9">
                  <c:v>2649</c:v>
                </c:pt>
                <c:pt idx="10">
                  <c:v>2593</c:v>
                </c:pt>
                <c:pt idx="11">
                  <c:v>2659</c:v>
                </c:pt>
              </c:numCache>
            </c:numRef>
          </c:val>
          <c:smooth val="0"/>
          <c:extLst>
            <c:ext xmlns:c16="http://schemas.microsoft.com/office/drawing/2014/chart" uri="{C3380CC4-5D6E-409C-BE32-E72D297353CC}">
              <c16:uniqueId val="{00000009-3EC8-4FA0-8CC3-4F71E2301C13}"/>
            </c:ext>
          </c:extLst>
        </c:ser>
        <c:dLbls>
          <c:showLegendKey val="0"/>
          <c:showVal val="0"/>
          <c:showCatName val="0"/>
          <c:showSerName val="0"/>
          <c:showPercent val="0"/>
          <c:showBubbleSize val="0"/>
        </c:dLbls>
        <c:smooth val="0"/>
        <c:axId val="1864098448"/>
        <c:axId val="1864088368"/>
        <c:extLst>
          <c:ext xmlns:c15="http://schemas.microsoft.com/office/drawing/2012/chart" uri="{02D57815-91ED-43cb-92C2-25804820EDAC}">
            <c15:filteredLineSeries>
              <c15:ser>
                <c:idx val="0"/>
                <c:order val="0"/>
                <c:tx>
                  <c:strRef>
                    <c:extLst>
                      <c:ext uri="{02D57815-91ED-43cb-92C2-25804820EDAC}">
                        <c15:formulaRef>
                          <c15:sqref>'Paypal 3statement Model'!$B$32</c15:sqref>
                        </c15:formulaRef>
                      </c:ext>
                    </c:extLst>
                    <c:strCache>
                      <c:ptCount val="1"/>
                      <c:pt idx="0">
                        <c:v>Revenue</c:v>
                      </c:pt>
                    </c:strCache>
                  </c:strRef>
                </c:tx>
                <c:spPr>
                  <a:ln w="28575" cap="rnd">
                    <a:solidFill>
                      <a:schemeClr val="accent1"/>
                    </a:solidFill>
                    <a:round/>
                  </a:ln>
                  <a:effectLst/>
                </c:spPr>
                <c:marker>
                  <c:symbol val="none"/>
                </c:marker>
                <c:cat>
                  <c:strRef>
                    <c:extLst>
                      <c:ext uri="{02D57815-91ED-43cb-92C2-25804820EDAC}">
                        <c15:formulaRef>
                          <c15:sqref>'Paypal 3statement Model'!$C$31:$N$31</c15:sqref>
                        </c15:formulaRef>
                      </c:ext>
                    </c:extLst>
                    <c:strCache>
                      <c:ptCount val="12"/>
                      <c:pt idx="0">
                        <c:v>Q122</c:v>
                      </c:pt>
                      <c:pt idx="1">
                        <c:v>Q222</c:v>
                      </c:pt>
                      <c:pt idx="2">
                        <c:v>Q322</c:v>
                      </c:pt>
                      <c:pt idx="3">
                        <c:v>Q123</c:v>
                      </c:pt>
                      <c:pt idx="4">
                        <c:v>Q223</c:v>
                      </c:pt>
                      <c:pt idx="5">
                        <c:v>Q323</c:v>
                      </c:pt>
                      <c:pt idx="6">
                        <c:v>Q124</c:v>
                      </c:pt>
                      <c:pt idx="7">
                        <c:v>Q224</c:v>
                      </c:pt>
                      <c:pt idx="8">
                        <c:v>Q324</c:v>
                      </c:pt>
                      <c:pt idx="9">
                        <c:v>Q125</c:v>
                      </c:pt>
                      <c:pt idx="10">
                        <c:v>Q225</c:v>
                      </c:pt>
                      <c:pt idx="11">
                        <c:v>Q325</c:v>
                      </c:pt>
                    </c:strCache>
                  </c:strRef>
                </c:cat>
                <c:val>
                  <c:numRef>
                    <c:extLst>
                      <c:ext uri="{02D57815-91ED-43cb-92C2-25804820EDAC}">
                        <c15:formulaRef>
                          <c15:sqref>'Paypal 3statement Model'!$C$32:$N$32</c15:sqref>
                        </c15:formulaRef>
                      </c:ext>
                    </c:extLst>
                    <c:numCache>
                      <c:formatCode>#,##0_);\(#,##0\)</c:formatCode>
                      <c:ptCount val="12"/>
                      <c:pt idx="0">
                        <c:v>6483</c:v>
                      </c:pt>
                      <c:pt idx="1">
                        <c:v>6806</c:v>
                      </c:pt>
                      <c:pt idx="2" formatCode="General">
                        <c:v>6846</c:v>
                      </c:pt>
                      <c:pt idx="3">
                        <c:v>7040</c:v>
                      </c:pt>
                      <c:pt idx="4">
                        <c:v>7287</c:v>
                      </c:pt>
                      <c:pt idx="5">
                        <c:v>7418</c:v>
                      </c:pt>
                      <c:pt idx="6">
                        <c:v>7699</c:v>
                      </c:pt>
                      <c:pt idx="7">
                        <c:v>7885</c:v>
                      </c:pt>
                      <c:pt idx="8">
                        <c:v>7847</c:v>
                      </c:pt>
                      <c:pt idx="9">
                        <c:v>7791</c:v>
                      </c:pt>
                      <c:pt idx="10">
                        <c:v>8228</c:v>
                      </c:pt>
                      <c:pt idx="11">
                        <c:v>8417</c:v>
                      </c:pt>
                    </c:numCache>
                  </c:numRef>
                </c:val>
                <c:smooth val="0"/>
                <c:extLst>
                  <c:ext xmlns:c16="http://schemas.microsoft.com/office/drawing/2014/chart" uri="{C3380CC4-5D6E-409C-BE32-E72D297353CC}">
                    <c16:uniqueId val="{00000000-3EC8-4FA0-8CC3-4F71E2301C13}"/>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'Paypal 3statement Model'!$B$33</c15:sqref>
                        </c15:formulaRef>
                      </c:ext>
                    </c:extLst>
                    <c:strCache>
                      <c:ptCount val="1"/>
                      <c:pt idx="0">
                        <c:v>Transaction Expense</c:v>
                      </c:pt>
                    </c:strCache>
                  </c:strRef>
                </c:tx>
                <c:spPr>
                  <a:ln w="28575" cap="rnd">
                    <a:solidFill>
                      <a:schemeClr val="accent2"/>
                    </a:solidFill>
                    <a:round/>
                  </a:ln>
                  <a:effectLst/>
                </c:spPr>
                <c:marker>
                  <c:symbol val="none"/>
                </c:marker>
                <c:cat>
                  <c:strRef>
                    <c:extLst xmlns:c15="http://schemas.microsoft.com/office/drawing/2012/chart">
                      <c:ext xmlns:c15="http://schemas.microsoft.com/office/drawing/2012/chart" uri="{02D57815-91ED-43cb-92C2-25804820EDAC}">
                        <c15:formulaRef>
                          <c15:sqref>'Paypal 3statement Model'!$C$31:$N$31</c15:sqref>
                        </c15:formulaRef>
                      </c:ext>
                    </c:extLst>
                    <c:strCache>
                      <c:ptCount val="12"/>
                      <c:pt idx="0">
                        <c:v>Q122</c:v>
                      </c:pt>
                      <c:pt idx="1">
                        <c:v>Q222</c:v>
                      </c:pt>
                      <c:pt idx="2">
                        <c:v>Q322</c:v>
                      </c:pt>
                      <c:pt idx="3">
                        <c:v>Q123</c:v>
                      </c:pt>
                      <c:pt idx="4">
                        <c:v>Q223</c:v>
                      </c:pt>
                      <c:pt idx="5">
                        <c:v>Q323</c:v>
                      </c:pt>
                      <c:pt idx="6">
                        <c:v>Q124</c:v>
                      </c:pt>
                      <c:pt idx="7">
                        <c:v>Q224</c:v>
                      </c:pt>
                      <c:pt idx="8">
                        <c:v>Q324</c:v>
                      </c:pt>
                      <c:pt idx="9">
                        <c:v>Q125</c:v>
                      </c:pt>
                      <c:pt idx="10">
                        <c:v>Q225</c:v>
                      </c:pt>
                      <c:pt idx="11">
                        <c:v>Q325</c:v>
                      </c:pt>
                    </c:strCache>
                  </c:strRef>
                </c:cat>
                <c:val>
                  <c:numRef>
                    <c:extLst xmlns:c15="http://schemas.microsoft.com/office/drawing/2012/chart">
                      <c:ext xmlns:c15="http://schemas.microsoft.com/office/drawing/2012/chart" uri="{02D57815-91ED-43cb-92C2-25804820EDAC}">
                        <c15:formulaRef>
                          <c15:sqref>'Paypal 3statement Model'!$C$33:$N$33</c15:sqref>
                        </c15:formulaRef>
                      </c:ext>
                    </c:extLst>
                    <c:numCache>
                      <c:formatCode>#,##0_);\(#,##0\)</c:formatCode>
                      <c:ptCount val="12"/>
                      <c:pt idx="0">
                        <c:v>2817</c:v>
                      </c:pt>
                      <c:pt idx="1">
                        <c:v>3044</c:v>
                      </c:pt>
                      <c:pt idx="2" formatCode="General">
                        <c:v>2988</c:v>
                      </c:pt>
                      <c:pt idx="3">
                        <c:v>3283</c:v>
                      </c:pt>
                      <c:pt idx="4">
                        <c:v>3541</c:v>
                      </c:pt>
                      <c:pt idx="5">
                        <c:v>3603</c:v>
                      </c:pt>
                      <c:pt idx="6">
                        <c:v>3917</c:v>
                      </c:pt>
                      <c:pt idx="7">
                        <c:v>3942</c:v>
                      </c:pt>
                      <c:pt idx="8">
                        <c:v>3841</c:v>
                      </c:pt>
                      <c:pt idx="9">
                        <c:v>3704</c:v>
                      </c:pt>
                      <c:pt idx="10">
                        <c:v>3968</c:v>
                      </c:pt>
                      <c:pt idx="11">
                        <c:v>4063</c:v>
                      </c:pt>
                    </c:numCache>
                  </c:numRef>
                </c:val>
                <c:smooth val="0"/>
                <c:extLst xmlns:c15="http://schemas.microsoft.com/office/drawing/2012/chart">
                  <c:ext xmlns:c16="http://schemas.microsoft.com/office/drawing/2014/chart" uri="{C3380CC4-5D6E-409C-BE32-E72D297353CC}">
                    <c16:uniqueId val="{00000001-3EC8-4FA0-8CC3-4F71E2301C13}"/>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'Paypal 3statement Model'!$B$34</c15:sqref>
                        </c15:formulaRef>
                      </c:ext>
                    </c:extLst>
                    <c:strCache>
                      <c:ptCount val="1"/>
                      <c:pt idx="0">
                        <c:v>Transaction and Credit losses</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'Paypal 3statement Model'!$C$31:$N$31</c15:sqref>
                        </c15:formulaRef>
                      </c:ext>
                    </c:extLst>
                    <c:strCache>
                      <c:ptCount val="12"/>
                      <c:pt idx="0">
                        <c:v>Q122</c:v>
                      </c:pt>
                      <c:pt idx="1">
                        <c:v>Q222</c:v>
                      </c:pt>
                      <c:pt idx="2">
                        <c:v>Q322</c:v>
                      </c:pt>
                      <c:pt idx="3">
                        <c:v>Q123</c:v>
                      </c:pt>
                      <c:pt idx="4">
                        <c:v>Q223</c:v>
                      </c:pt>
                      <c:pt idx="5">
                        <c:v>Q323</c:v>
                      </c:pt>
                      <c:pt idx="6">
                        <c:v>Q124</c:v>
                      </c:pt>
                      <c:pt idx="7">
                        <c:v>Q224</c:v>
                      </c:pt>
                      <c:pt idx="8">
                        <c:v>Q324</c:v>
                      </c:pt>
                      <c:pt idx="9">
                        <c:v>Q125</c:v>
                      </c:pt>
                      <c:pt idx="10">
                        <c:v>Q225</c:v>
                      </c:pt>
                      <c:pt idx="11">
                        <c:v>Q325</c:v>
                      </c:pt>
                    </c:strCache>
                  </c:strRef>
                </c:cat>
                <c:val>
                  <c:numRef>
                    <c:extLst xmlns:c15="http://schemas.microsoft.com/office/drawing/2012/chart">
                      <c:ext xmlns:c15="http://schemas.microsoft.com/office/drawing/2012/chart" uri="{02D57815-91ED-43cb-92C2-25804820EDAC}">
                        <c15:formulaRef>
                          <c15:sqref>'Paypal 3statement Model'!$C$34:$N$34</c15:sqref>
                        </c15:formulaRef>
                      </c:ext>
                    </c:extLst>
                    <c:numCache>
                      <c:formatCode>#,##0_);\(#,##0\)</c:formatCode>
                      <c:ptCount val="12"/>
                      <c:pt idx="0">
                        <c:v>369</c:v>
                      </c:pt>
                      <c:pt idx="1">
                        <c:v>448</c:v>
                      </c:pt>
                      <c:pt idx="2" formatCode="General">
                        <c:v>367</c:v>
                      </c:pt>
                      <c:pt idx="3">
                        <c:v>442</c:v>
                      </c:pt>
                      <c:pt idx="4">
                        <c:v>398</c:v>
                      </c:pt>
                      <c:pt idx="5">
                        <c:v>446</c:v>
                      </c:pt>
                      <c:pt idx="6">
                        <c:v>321</c:v>
                      </c:pt>
                      <c:pt idx="7">
                        <c:v>335</c:v>
                      </c:pt>
                      <c:pt idx="8">
                        <c:v>352</c:v>
                      </c:pt>
                      <c:pt idx="9">
                        <c:v>371</c:v>
                      </c:pt>
                      <c:pt idx="10">
                        <c:v>476</c:v>
                      </c:pt>
                      <c:pt idx="11">
                        <c:v>483</c:v>
                      </c:pt>
                    </c:numCache>
                  </c:numRef>
                </c:val>
                <c:smooth val="0"/>
                <c:extLst xmlns:c15="http://schemas.microsoft.com/office/drawing/2012/chart">
                  <c:ext xmlns:c16="http://schemas.microsoft.com/office/drawing/2014/chart" uri="{C3380CC4-5D6E-409C-BE32-E72D297353CC}">
                    <c16:uniqueId val="{00000002-3EC8-4FA0-8CC3-4F71E2301C13}"/>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'Paypal 3statement Model'!$B$35</c15:sqref>
                        </c15:formulaRef>
                      </c:ext>
                    </c:extLst>
                    <c:strCache>
                      <c:ptCount val="1"/>
                      <c:pt idx="0">
                        <c:v>Customer Support and Operations</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'Paypal 3statement Model'!$C$31:$N$31</c15:sqref>
                        </c15:formulaRef>
                      </c:ext>
                    </c:extLst>
                    <c:strCache>
                      <c:ptCount val="12"/>
                      <c:pt idx="0">
                        <c:v>Q122</c:v>
                      </c:pt>
                      <c:pt idx="1">
                        <c:v>Q222</c:v>
                      </c:pt>
                      <c:pt idx="2">
                        <c:v>Q322</c:v>
                      </c:pt>
                      <c:pt idx="3">
                        <c:v>Q123</c:v>
                      </c:pt>
                      <c:pt idx="4">
                        <c:v>Q223</c:v>
                      </c:pt>
                      <c:pt idx="5">
                        <c:v>Q323</c:v>
                      </c:pt>
                      <c:pt idx="6">
                        <c:v>Q124</c:v>
                      </c:pt>
                      <c:pt idx="7">
                        <c:v>Q224</c:v>
                      </c:pt>
                      <c:pt idx="8">
                        <c:v>Q324</c:v>
                      </c:pt>
                      <c:pt idx="9">
                        <c:v>Q125</c:v>
                      </c:pt>
                      <c:pt idx="10">
                        <c:v>Q225</c:v>
                      </c:pt>
                      <c:pt idx="11">
                        <c:v>Q325</c:v>
                      </c:pt>
                    </c:strCache>
                  </c:strRef>
                </c:cat>
                <c:val>
                  <c:numRef>
                    <c:extLst xmlns:c15="http://schemas.microsoft.com/office/drawing/2012/chart">
                      <c:ext xmlns:c15="http://schemas.microsoft.com/office/drawing/2012/chart" uri="{02D57815-91ED-43cb-92C2-25804820EDAC}">
                        <c15:formulaRef>
                          <c15:sqref>'Paypal 3statement Model'!$C$35:$N$35</c15:sqref>
                        </c15:formulaRef>
                      </c:ext>
                    </c:extLst>
                    <c:numCache>
                      <c:formatCode>#,##0_);\(#,##0\)</c:formatCode>
                      <c:ptCount val="12"/>
                      <c:pt idx="0">
                        <c:v>534</c:v>
                      </c:pt>
                      <c:pt idx="1">
                        <c:v>536</c:v>
                      </c:pt>
                      <c:pt idx="2" formatCode="General">
                        <c:v>509</c:v>
                      </c:pt>
                      <c:pt idx="3">
                        <c:v>488</c:v>
                      </c:pt>
                      <c:pt idx="4">
                        <c:v>492</c:v>
                      </c:pt>
                      <c:pt idx="5">
                        <c:v>474</c:v>
                      </c:pt>
                      <c:pt idx="6">
                        <c:v>454</c:v>
                      </c:pt>
                      <c:pt idx="7">
                        <c:v>436</c:v>
                      </c:pt>
                      <c:pt idx="8">
                        <c:v>427</c:v>
                      </c:pt>
                      <c:pt idx="9">
                        <c:v>398</c:v>
                      </c:pt>
                      <c:pt idx="10">
                        <c:v>413</c:v>
                      </c:pt>
                      <c:pt idx="11">
                        <c:v>447</c:v>
                      </c:pt>
                    </c:numCache>
                  </c:numRef>
                </c:val>
                <c:smooth val="0"/>
                <c:extLst xmlns:c15="http://schemas.microsoft.com/office/drawing/2012/chart">
                  <c:ext xmlns:c16="http://schemas.microsoft.com/office/drawing/2014/chart" uri="{C3380CC4-5D6E-409C-BE32-E72D297353CC}">
                    <c16:uniqueId val="{00000003-3EC8-4FA0-8CC3-4F71E2301C13}"/>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'Paypal 3statement Model'!$B$36</c15:sqref>
                        </c15:formulaRef>
                      </c:ext>
                    </c:extLst>
                    <c:strCache>
                      <c:ptCount val="1"/>
                      <c:pt idx="0">
                        <c:v>S&amp;M</c:v>
                      </c:pt>
                    </c:strCache>
                  </c:strRef>
                </c:tx>
                <c:spPr>
                  <a:ln w="28575" cap="rnd">
                    <a:solidFill>
                      <a:schemeClr val="accent5"/>
                    </a:solidFill>
                    <a:round/>
                  </a:ln>
                  <a:effectLst/>
                </c:spPr>
                <c:marker>
                  <c:symbol val="none"/>
                </c:marker>
                <c:cat>
                  <c:strRef>
                    <c:extLst xmlns:c15="http://schemas.microsoft.com/office/drawing/2012/chart">
                      <c:ext xmlns:c15="http://schemas.microsoft.com/office/drawing/2012/chart" uri="{02D57815-91ED-43cb-92C2-25804820EDAC}">
                        <c15:formulaRef>
                          <c15:sqref>'Paypal 3statement Model'!$C$31:$N$31</c15:sqref>
                        </c15:formulaRef>
                      </c:ext>
                    </c:extLst>
                    <c:strCache>
                      <c:ptCount val="12"/>
                      <c:pt idx="0">
                        <c:v>Q122</c:v>
                      </c:pt>
                      <c:pt idx="1">
                        <c:v>Q222</c:v>
                      </c:pt>
                      <c:pt idx="2">
                        <c:v>Q322</c:v>
                      </c:pt>
                      <c:pt idx="3">
                        <c:v>Q123</c:v>
                      </c:pt>
                      <c:pt idx="4">
                        <c:v>Q223</c:v>
                      </c:pt>
                      <c:pt idx="5">
                        <c:v>Q323</c:v>
                      </c:pt>
                      <c:pt idx="6">
                        <c:v>Q124</c:v>
                      </c:pt>
                      <c:pt idx="7">
                        <c:v>Q224</c:v>
                      </c:pt>
                      <c:pt idx="8">
                        <c:v>Q324</c:v>
                      </c:pt>
                      <c:pt idx="9">
                        <c:v>Q125</c:v>
                      </c:pt>
                      <c:pt idx="10">
                        <c:v>Q225</c:v>
                      </c:pt>
                      <c:pt idx="11">
                        <c:v>Q325</c:v>
                      </c:pt>
                    </c:strCache>
                  </c:strRef>
                </c:cat>
                <c:val>
                  <c:numRef>
                    <c:extLst xmlns:c15="http://schemas.microsoft.com/office/drawing/2012/chart">
                      <c:ext xmlns:c15="http://schemas.microsoft.com/office/drawing/2012/chart" uri="{02D57815-91ED-43cb-92C2-25804820EDAC}">
                        <c15:formulaRef>
                          <c15:sqref>'Paypal 3statement Model'!$C$36:$N$36</c15:sqref>
                        </c15:formulaRef>
                      </c:ext>
                    </c:extLst>
                    <c:numCache>
                      <c:formatCode>#,##0_);\(#,##0\)</c:formatCode>
                      <c:ptCount val="12"/>
                      <c:pt idx="0">
                        <c:v>-1510</c:v>
                      </c:pt>
                      <c:pt idx="1">
                        <c:v>-1416</c:v>
                      </c:pt>
                      <c:pt idx="2" formatCode="General">
                        <c:v>-1515</c:v>
                      </c:pt>
                      <c:pt idx="3">
                        <c:v>-1554</c:v>
                      </c:pt>
                      <c:pt idx="4">
                        <c:v>-1484</c:v>
                      </c:pt>
                      <c:pt idx="5">
                        <c:v>-1462</c:v>
                      </c:pt>
                      <c:pt idx="6">
                        <c:v>-1478</c:v>
                      </c:pt>
                      <c:pt idx="7">
                        <c:v>-1422</c:v>
                      </c:pt>
                      <c:pt idx="8">
                        <c:v>-1416</c:v>
                      </c:pt>
                      <c:pt idx="9">
                        <c:v>-448</c:v>
                      </c:pt>
                      <c:pt idx="10">
                        <c:v>-371</c:v>
                      </c:pt>
                      <c:pt idx="11">
                        <c:v>-422</c:v>
                      </c:pt>
                    </c:numCache>
                  </c:numRef>
                </c:val>
                <c:smooth val="0"/>
                <c:extLst xmlns:c15="http://schemas.microsoft.com/office/drawing/2012/chart">
                  <c:ext xmlns:c16="http://schemas.microsoft.com/office/drawing/2014/chart" uri="{C3380CC4-5D6E-409C-BE32-E72D297353CC}">
                    <c16:uniqueId val="{00000004-3EC8-4FA0-8CC3-4F71E2301C13}"/>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'Paypal 3statement Model'!$B$37</c15:sqref>
                        </c15:formulaRef>
                      </c:ext>
                    </c:extLst>
                    <c:strCache>
                      <c:ptCount val="1"/>
                      <c:pt idx="0">
                        <c:v>R&amp;D</c:v>
                      </c:pt>
                    </c:strCache>
                  </c:strRef>
                </c:tx>
                <c:spPr>
                  <a:ln w="28575" cap="rnd">
                    <a:solidFill>
                      <a:schemeClr val="accent6"/>
                    </a:solidFill>
                    <a:round/>
                  </a:ln>
                  <a:effectLst/>
                </c:spPr>
                <c:marker>
                  <c:symbol val="none"/>
                </c:marker>
                <c:cat>
                  <c:strRef>
                    <c:extLst xmlns:c15="http://schemas.microsoft.com/office/drawing/2012/chart">
                      <c:ext xmlns:c15="http://schemas.microsoft.com/office/drawing/2012/chart" uri="{02D57815-91ED-43cb-92C2-25804820EDAC}">
                        <c15:formulaRef>
                          <c15:sqref>'Paypal 3statement Model'!$C$31:$N$31</c15:sqref>
                        </c15:formulaRef>
                      </c:ext>
                    </c:extLst>
                    <c:strCache>
                      <c:ptCount val="12"/>
                      <c:pt idx="0">
                        <c:v>Q122</c:v>
                      </c:pt>
                      <c:pt idx="1">
                        <c:v>Q222</c:v>
                      </c:pt>
                      <c:pt idx="2">
                        <c:v>Q322</c:v>
                      </c:pt>
                      <c:pt idx="3">
                        <c:v>Q123</c:v>
                      </c:pt>
                      <c:pt idx="4">
                        <c:v>Q223</c:v>
                      </c:pt>
                      <c:pt idx="5">
                        <c:v>Q323</c:v>
                      </c:pt>
                      <c:pt idx="6">
                        <c:v>Q124</c:v>
                      </c:pt>
                      <c:pt idx="7">
                        <c:v>Q224</c:v>
                      </c:pt>
                      <c:pt idx="8">
                        <c:v>Q324</c:v>
                      </c:pt>
                      <c:pt idx="9">
                        <c:v>Q125</c:v>
                      </c:pt>
                      <c:pt idx="10">
                        <c:v>Q225</c:v>
                      </c:pt>
                      <c:pt idx="11">
                        <c:v>Q325</c:v>
                      </c:pt>
                    </c:strCache>
                  </c:strRef>
                </c:cat>
                <c:val>
                  <c:numRef>
                    <c:extLst xmlns:c15="http://schemas.microsoft.com/office/drawing/2012/chart">
                      <c:ext xmlns:c15="http://schemas.microsoft.com/office/drawing/2012/chart" uri="{02D57815-91ED-43cb-92C2-25804820EDAC}">
                        <c15:formulaRef>
                          <c15:sqref>'Paypal 3statement Model'!$C$37:$N$37</c15:sqref>
                        </c15:formulaRef>
                      </c:ext>
                    </c:extLst>
                    <c:numCache>
                      <c:formatCode>#,##0_);\(#,##0\)</c:formatCode>
                      <c:ptCount val="12"/>
                      <c:pt idx="0">
                        <c:v>-747</c:v>
                      </c:pt>
                      <c:pt idx="1">
                        <c:v>-712</c:v>
                      </c:pt>
                      <c:pt idx="2" formatCode="General">
                        <c:v>-736</c:v>
                      </c:pt>
                      <c:pt idx="3">
                        <c:v>-797</c:v>
                      </c:pt>
                      <c:pt idx="4">
                        <c:v>-754</c:v>
                      </c:pt>
                      <c:pt idx="5">
                        <c:v>-700</c:v>
                      </c:pt>
                      <c:pt idx="6">
                        <c:v>-698</c:v>
                      </c:pt>
                      <c:pt idx="7">
                        <c:v>-719</c:v>
                      </c:pt>
                      <c:pt idx="8">
                        <c:v>-701</c:v>
                      </c:pt>
                      <c:pt idx="9">
                        <c:v>548</c:v>
                      </c:pt>
                      <c:pt idx="10">
                        <c:v>572</c:v>
                      </c:pt>
                      <c:pt idx="11">
                        <c:v>605</c:v>
                      </c:pt>
                    </c:numCache>
                  </c:numRef>
                </c:val>
                <c:smooth val="0"/>
                <c:extLst xmlns:c15="http://schemas.microsoft.com/office/drawing/2012/chart">
                  <c:ext xmlns:c16="http://schemas.microsoft.com/office/drawing/2014/chart" uri="{C3380CC4-5D6E-409C-BE32-E72D297353CC}">
                    <c16:uniqueId val="{00000005-3EC8-4FA0-8CC3-4F71E2301C13}"/>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'Paypal 3statement Model'!$B$38</c15:sqref>
                        </c15:formulaRef>
                      </c:ext>
                    </c:extLst>
                    <c:strCache>
                      <c:ptCount val="1"/>
                      <c:pt idx="0">
                        <c:v>G&amp;A</c:v>
                      </c:pt>
                    </c:strCache>
                  </c:strRef>
                </c:tx>
                <c:spPr>
                  <a:ln w="28575" cap="rnd">
                    <a:solidFill>
                      <a:schemeClr val="accent1">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'Paypal 3statement Model'!$C$31:$N$31</c15:sqref>
                        </c15:formulaRef>
                      </c:ext>
                    </c:extLst>
                    <c:strCache>
                      <c:ptCount val="12"/>
                      <c:pt idx="0">
                        <c:v>Q122</c:v>
                      </c:pt>
                      <c:pt idx="1">
                        <c:v>Q222</c:v>
                      </c:pt>
                      <c:pt idx="2">
                        <c:v>Q322</c:v>
                      </c:pt>
                      <c:pt idx="3">
                        <c:v>Q123</c:v>
                      </c:pt>
                      <c:pt idx="4">
                        <c:v>Q223</c:v>
                      </c:pt>
                      <c:pt idx="5">
                        <c:v>Q323</c:v>
                      </c:pt>
                      <c:pt idx="6">
                        <c:v>Q124</c:v>
                      </c:pt>
                      <c:pt idx="7">
                        <c:v>Q224</c:v>
                      </c:pt>
                      <c:pt idx="8">
                        <c:v>Q324</c:v>
                      </c:pt>
                      <c:pt idx="9">
                        <c:v>Q125</c:v>
                      </c:pt>
                      <c:pt idx="10">
                        <c:v>Q225</c:v>
                      </c:pt>
                      <c:pt idx="11">
                        <c:v>Q325</c:v>
                      </c:pt>
                    </c:strCache>
                  </c:strRef>
                </c:cat>
                <c:val>
                  <c:numRef>
                    <c:extLst xmlns:c15="http://schemas.microsoft.com/office/drawing/2012/chart">
                      <c:ext xmlns:c15="http://schemas.microsoft.com/office/drawing/2012/chart" uri="{02D57815-91ED-43cb-92C2-25804820EDAC}">
                        <c15:formulaRef>
                          <c15:sqref>'Paypal 3statement Model'!$C$38:$N$38</c15:sqref>
                        </c15:formulaRef>
                      </c:ext>
                    </c:extLst>
                    <c:numCache>
                      <c:formatCode>#,##0_);\(#,##0\)</c:formatCode>
                      <c:ptCount val="12"/>
                      <c:pt idx="0">
                        <c:v>607</c:v>
                      </c:pt>
                      <c:pt idx="1">
                        <c:v>514</c:v>
                      </c:pt>
                      <c:pt idx="2" formatCode="General">
                        <c:v>463</c:v>
                      </c:pt>
                      <c:pt idx="3">
                        <c:v>507</c:v>
                      </c:pt>
                      <c:pt idx="4">
                        <c:v>491</c:v>
                      </c:pt>
                      <c:pt idx="5">
                        <c:v>507</c:v>
                      </c:pt>
                      <c:pt idx="6">
                        <c:v>464</c:v>
                      </c:pt>
                      <c:pt idx="7">
                        <c:v>570</c:v>
                      </c:pt>
                      <c:pt idx="8">
                        <c:v>519</c:v>
                      </c:pt>
                      <c:pt idx="9">
                        <c:v>503</c:v>
                      </c:pt>
                      <c:pt idx="10">
                        <c:v>461</c:v>
                      </c:pt>
                      <c:pt idx="11">
                        <c:v>513</c:v>
                      </c:pt>
                    </c:numCache>
                  </c:numRef>
                </c:val>
                <c:smooth val="0"/>
                <c:extLst xmlns:c15="http://schemas.microsoft.com/office/drawing/2012/chart">
                  <c:ext xmlns:c16="http://schemas.microsoft.com/office/drawing/2014/chart" uri="{C3380CC4-5D6E-409C-BE32-E72D297353CC}">
                    <c16:uniqueId val="{00000006-3EC8-4FA0-8CC3-4F71E2301C13}"/>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'Paypal 3statement Model'!$B$39</c15:sqref>
                        </c15:formulaRef>
                      </c:ext>
                    </c:extLst>
                    <c:strCache>
                      <c:ptCount val="1"/>
                      <c:pt idx="0">
                        <c:v>Restructuring and other</c:v>
                      </c:pt>
                    </c:strCache>
                  </c:strRef>
                </c:tx>
                <c:spPr>
                  <a:ln w="28575" cap="rnd">
                    <a:solidFill>
                      <a:schemeClr val="accent2">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'Paypal 3statement Model'!$C$31:$N$31</c15:sqref>
                        </c15:formulaRef>
                      </c:ext>
                    </c:extLst>
                    <c:strCache>
                      <c:ptCount val="12"/>
                      <c:pt idx="0">
                        <c:v>Q122</c:v>
                      </c:pt>
                      <c:pt idx="1">
                        <c:v>Q222</c:v>
                      </c:pt>
                      <c:pt idx="2">
                        <c:v>Q322</c:v>
                      </c:pt>
                      <c:pt idx="3">
                        <c:v>Q123</c:v>
                      </c:pt>
                      <c:pt idx="4">
                        <c:v>Q223</c:v>
                      </c:pt>
                      <c:pt idx="5">
                        <c:v>Q323</c:v>
                      </c:pt>
                      <c:pt idx="6">
                        <c:v>Q124</c:v>
                      </c:pt>
                      <c:pt idx="7">
                        <c:v>Q224</c:v>
                      </c:pt>
                      <c:pt idx="8">
                        <c:v>Q324</c:v>
                      </c:pt>
                      <c:pt idx="9">
                        <c:v>Q125</c:v>
                      </c:pt>
                      <c:pt idx="10">
                        <c:v>Q225</c:v>
                      </c:pt>
                      <c:pt idx="11">
                        <c:v>Q325</c:v>
                      </c:pt>
                    </c:strCache>
                  </c:strRef>
                </c:cat>
                <c:val>
                  <c:numRef>
                    <c:extLst xmlns:c15="http://schemas.microsoft.com/office/drawing/2012/chart">
                      <c:ext xmlns:c15="http://schemas.microsoft.com/office/drawing/2012/chart" uri="{02D57815-91ED-43cb-92C2-25804820EDAC}">
                        <c15:formulaRef>
                          <c15:sqref>'Paypal 3statement Model'!$C$39:$N$39</c15:sqref>
                        </c15:formulaRef>
                      </c:ext>
                    </c:extLst>
                    <c:numCache>
                      <c:formatCode>#,##0_);\(#,##0\)</c:formatCode>
                      <c:ptCount val="12"/>
                      <c:pt idx="0">
                        <c:v>36</c:v>
                      </c:pt>
                      <c:pt idx="1">
                        <c:v>90</c:v>
                      </c:pt>
                      <c:pt idx="2" formatCode="General">
                        <c:v>56</c:v>
                      </c:pt>
                      <c:pt idx="3">
                        <c:v>164</c:v>
                      </c:pt>
                      <c:pt idx="4">
                        <c:v>24</c:v>
                      </c:pt>
                      <c:pt idx="5">
                        <c:v>39</c:v>
                      </c:pt>
                      <c:pt idx="6">
                        <c:v>212</c:v>
                      </c:pt>
                      <c:pt idx="7">
                        <c:v>113</c:v>
                      </c:pt>
                      <c:pt idx="8">
                        <c:v>63</c:v>
                      </c:pt>
                      <c:pt idx="9">
                        <c:v>66</c:v>
                      </c:pt>
                      <c:pt idx="10">
                        <c:v>116</c:v>
                      </c:pt>
                      <c:pt idx="11">
                        <c:v>69</c:v>
                      </c:pt>
                    </c:numCache>
                  </c:numRef>
                </c:val>
                <c:smooth val="0"/>
                <c:extLst xmlns:c15="http://schemas.microsoft.com/office/drawing/2012/chart">
                  <c:ext xmlns:c16="http://schemas.microsoft.com/office/drawing/2014/chart" uri="{C3380CC4-5D6E-409C-BE32-E72D297353CC}">
                    <c16:uniqueId val="{00000007-3EC8-4FA0-8CC3-4F71E2301C13}"/>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'Paypal 3statement Model'!$B$40</c15:sqref>
                        </c15:formulaRef>
                      </c:ext>
                    </c:extLst>
                    <c:strCache>
                      <c:ptCount val="1"/>
                      <c:pt idx="0">
                        <c:v>COGS</c:v>
                      </c:pt>
                    </c:strCache>
                  </c:strRef>
                </c:tx>
                <c:spPr>
                  <a:ln w="28575" cap="rnd">
                    <a:solidFill>
                      <a:schemeClr val="accent3">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'Paypal 3statement Model'!$C$31:$N$31</c15:sqref>
                        </c15:formulaRef>
                      </c:ext>
                    </c:extLst>
                    <c:strCache>
                      <c:ptCount val="12"/>
                      <c:pt idx="0">
                        <c:v>Q122</c:v>
                      </c:pt>
                      <c:pt idx="1">
                        <c:v>Q222</c:v>
                      </c:pt>
                      <c:pt idx="2">
                        <c:v>Q322</c:v>
                      </c:pt>
                      <c:pt idx="3">
                        <c:v>Q123</c:v>
                      </c:pt>
                      <c:pt idx="4">
                        <c:v>Q223</c:v>
                      </c:pt>
                      <c:pt idx="5">
                        <c:v>Q323</c:v>
                      </c:pt>
                      <c:pt idx="6">
                        <c:v>Q124</c:v>
                      </c:pt>
                      <c:pt idx="7">
                        <c:v>Q224</c:v>
                      </c:pt>
                      <c:pt idx="8">
                        <c:v>Q324</c:v>
                      </c:pt>
                      <c:pt idx="9">
                        <c:v>Q125</c:v>
                      </c:pt>
                      <c:pt idx="10">
                        <c:v>Q225</c:v>
                      </c:pt>
                      <c:pt idx="11">
                        <c:v>Q325</c:v>
                      </c:pt>
                    </c:strCache>
                  </c:strRef>
                </c:cat>
                <c:val>
                  <c:numRef>
                    <c:extLst xmlns:c15="http://schemas.microsoft.com/office/drawing/2012/chart">
                      <c:ext xmlns:c15="http://schemas.microsoft.com/office/drawing/2012/chart" uri="{02D57815-91ED-43cb-92C2-25804820EDAC}">
                        <c15:formulaRef>
                          <c15:sqref>'Paypal 3statement Model'!$C$40:$N$40</c15:sqref>
                        </c15:formulaRef>
                      </c:ext>
                    </c:extLst>
                    <c:numCache>
                      <c:formatCode>#,##0_);\(#,##0\)</c:formatCode>
                      <c:ptCount val="12"/>
                      <c:pt idx="0">
                        <c:v>2106</c:v>
                      </c:pt>
                      <c:pt idx="1">
                        <c:v>2504</c:v>
                      </c:pt>
                      <c:pt idx="2">
                        <c:v>2132</c:v>
                      </c:pt>
                      <c:pt idx="3">
                        <c:v>2533</c:v>
                      </c:pt>
                      <c:pt idx="4">
                        <c:v>2708</c:v>
                      </c:pt>
                      <c:pt idx="5">
                        <c:v>2907</c:v>
                      </c:pt>
                      <c:pt idx="6">
                        <c:v>3192</c:v>
                      </c:pt>
                      <c:pt idx="7">
                        <c:v>3255</c:v>
                      </c:pt>
                      <c:pt idx="8">
                        <c:v>3085</c:v>
                      </c:pt>
                      <c:pt idx="9">
                        <c:v>5142</c:v>
                      </c:pt>
                      <c:pt idx="10">
                        <c:v>5635</c:v>
                      </c:pt>
                      <c:pt idx="11">
                        <c:v>5758</c:v>
                      </c:pt>
                    </c:numCache>
                  </c:numRef>
                </c:val>
                <c:smooth val="0"/>
                <c:extLst xmlns:c15="http://schemas.microsoft.com/office/drawing/2012/chart">
                  <c:ext xmlns:c16="http://schemas.microsoft.com/office/drawing/2014/chart" uri="{C3380CC4-5D6E-409C-BE32-E72D297353CC}">
                    <c16:uniqueId val="{00000008-3EC8-4FA0-8CC3-4F71E2301C13}"/>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'Paypal 3statement Model'!$B$42</c15:sqref>
                        </c15:formulaRef>
                      </c:ext>
                    </c:extLst>
                    <c:strCache>
                      <c:ptCount val="1"/>
                      <c:pt idx="0">
                        <c:v>Other Income(Expense)</c:v>
                      </c:pt>
                    </c:strCache>
                  </c:strRef>
                </c:tx>
                <c:spPr>
                  <a:ln w="28575" cap="rnd">
                    <a:solidFill>
                      <a:schemeClr val="accent5">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'Paypal 3statement Model'!$C$31:$N$31</c15:sqref>
                        </c15:formulaRef>
                      </c:ext>
                    </c:extLst>
                    <c:strCache>
                      <c:ptCount val="12"/>
                      <c:pt idx="0">
                        <c:v>Q122</c:v>
                      </c:pt>
                      <c:pt idx="1">
                        <c:v>Q222</c:v>
                      </c:pt>
                      <c:pt idx="2">
                        <c:v>Q322</c:v>
                      </c:pt>
                      <c:pt idx="3">
                        <c:v>Q123</c:v>
                      </c:pt>
                      <c:pt idx="4">
                        <c:v>Q223</c:v>
                      </c:pt>
                      <c:pt idx="5">
                        <c:v>Q323</c:v>
                      </c:pt>
                      <c:pt idx="6">
                        <c:v>Q124</c:v>
                      </c:pt>
                      <c:pt idx="7">
                        <c:v>Q224</c:v>
                      </c:pt>
                      <c:pt idx="8">
                        <c:v>Q324</c:v>
                      </c:pt>
                      <c:pt idx="9">
                        <c:v>Q125</c:v>
                      </c:pt>
                      <c:pt idx="10">
                        <c:v>Q225</c:v>
                      </c:pt>
                      <c:pt idx="11">
                        <c:v>Q325</c:v>
                      </c:pt>
                    </c:strCache>
                  </c:strRef>
                </c:cat>
                <c:val>
                  <c:numRef>
                    <c:extLst xmlns:c15="http://schemas.microsoft.com/office/drawing/2012/chart">
                      <c:ext xmlns:c15="http://schemas.microsoft.com/office/drawing/2012/chart" uri="{02D57815-91ED-43cb-92C2-25804820EDAC}">
                        <c15:formulaRef>
                          <c15:sqref>'Paypal 3statement Model'!$C$42:$N$42</c15:sqref>
                        </c15:formulaRef>
                      </c:ext>
                    </c:extLst>
                    <c:numCache>
                      <c:formatCode>#,##0_);\(#,##0\)</c:formatCode>
                      <c:ptCount val="12"/>
                      <c:pt idx="0">
                        <c:v>-82</c:v>
                      </c:pt>
                      <c:pt idx="1">
                        <c:v>-715</c:v>
                      </c:pt>
                      <c:pt idx="2" formatCode="General">
                        <c:v>460</c:v>
                      </c:pt>
                      <c:pt idx="3" formatCode="General">
                        <c:v>75</c:v>
                      </c:pt>
                      <c:pt idx="4" formatCode="General">
                        <c:v>170</c:v>
                      </c:pt>
                      <c:pt idx="5" formatCode="General">
                        <c:v>73</c:v>
                      </c:pt>
                      <c:pt idx="6" formatCode="General">
                        <c:v>41</c:v>
                      </c:pt>
                      <c:pt idx="7" formatCode="General">
                        <c:v>74</c:v>
                      </c:pt>
                      <c:pt idx="8" formatCode="General">
                        <c:v>-80</c:v>
                      </c:pt>
                      <c:pt idx="9" formatCode="General">
                        <c:v>73</c:v>
                      </c:pt>
                      <c:pt idx="10" formatCode="General">
                        <c:v>25</c:v>
                      </c:pt>
                      <c:pt idx="11" formatCode="General">
                        <c:v>13</c:v>
                      </c:pt>
                    </c:numCache>
                  </c:numRef>
                </c:val>
                <c:smooth val="0"/>
                <c:extLst xmlns:c15="http://schemas.microsoft.com/office/drawing/2012/chart">
                  <c:ext xmlns:c16="http://schemas.microsoft.com/office/drawing/2014/chart" uri="{C3380CC4-5D6E-409C-BE32-E72D297353CC}">
                    <c16:uniqueId val="{0000000A-3EC8-4FA0-8CC3-4F71E2301C13}"/>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'Paypal 3statement Model'!$B$43</c15:sqref>
                        </c15:formulaRef>
                      </c:ext>
                    </c:extLst>
                    <c:strCache>
                      <c:ptCount val="1"/>
                      <c:pt idx="0">
                        <c:v>Pre Tax Income</c:v>
                      </c:pt>
                    </c:strCache>
                  </c:strRef>
                </c:tx>
                <c:spPr>
                  <a:ln w="28575" cap="rnd">
                    <a:solidFill>
                      <a:schemeClr val="accent6">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'Paypal 3statement Model'!$C$31:$N$31</c15:sqref>
                        </c15:formulaRef>
                      </c:ext>
                    </c:extLst>
                    <c:strCache>
                      <c:ptCount val="12"/>
                      <c:pt idx="0">
                        <c:v>Q122</c:v>
                      </c:pt>
                      <c:pt idx="1">
                        <c:v>Q222</c:v>
                      </c:pt>
                      <c:pt idx="2">
                        <c:v>Q322</c:v>
                      </c:pt>
                      <c:pt idx="3">
                        <c:v>Q123</c:v>
                      </c:pt>
                      <c:pt idx="4">
                        <c:v>Q223</c:v>
                      </c:pt>
                      <c:pt idx="5">
                        <c:v>Q323</c:v>
                      </c:pt>
                      <c:pt idx="6">
                        <c:v>Q124</c:v>
                      </c:pt>
                      <c:pt idx="7">
                        <c:v>Q224</c:v>
                      </c:pt>
                      <c:pt idx="8">
                        <c:v>Q324</c:v>
                      </c:pt>
                      <c:pt idx="9">
                        <c:v>Q125</c:v>
                      </c:pt>
                      <c:pt idx="10">
                        <c:v>Q225</c:v>
                      </c:pt>
                      <c:pt idx="11">
                        <c:v>Q325</c:v>
                      </c:pt>
                    </c:strCache>
                  </c:strRef>
                </c:cat>
                <c:val>
                  <c:numRef>
                    <c:extLst xmlns:c15="http://schemas.microsoft.com/office/drawing/2012/chart">
                      <c:ext xmlns:c15="http://schemas.microsoft.com/office/drawing/2012/chart" uri="{02D57815-91ED-43cb-92C2-25804820EDAC}">
                        <c15:formulaRef>
                          <c15:sqref>'Paypal 3statement Model'!$C$43:$N$43</c15:sqref>
                        </c15:formulaRef>
                      </c:ext>
                    </c:extLst>
                    <c:numCache>
                      <c:formatCode>#,##0_);\(#,##0\)</c:formatCode>
                      <c:ptCount val="12"/>
                      <c:pt idx="0">
                        <c:v>4295</c:v>
                      </c:pt>
                      <c:pt idx="1">
                        <c:v>3587</c:v>
                      </c:pt>
                      <c:pt idx="2">
                        <c:v>5174</c:v>
                      </c:pt>
                      <c:pt idx="3">
                        <c:v>4582</c:v>
                      </c:pt>
                      <c:pt idx="4">
                        <c:v>4749</c:v>
                      </c:pt>
                      <c:pt idx="5">
                        <c:v>4584</c:v>
                      </c:pt>
                      <c:pt idx="6">
                        <c:v>4548</c:v>
                      </c:pt>
                      <c:pt idx="7">
                        <c:v>4704</c:v>
                      </c:pt>
                      <c:pt idx="8">
                        <c:v>4682</c:v>
                      </c:pt>
                      <c:pt idx="9">
                        <c:v>2722</c:v>
                      </c:pt>
                      <c:pt idx="10">
                        <c:v>2618</c:v>
                      </c:pt>
                      <c:pt idx="11">
                        <c:v>2672</c:v>
                      </c:pt>
                    </c:numCache>
                  </c:numRef>
                </c:val>
                <c:smooth val="0"/>
                <c:extLst xmlns:c15="http://schemas.microsoft.com/office/drawing/2012/chart">
                  <c:ext xmlns:c16="http://schemas.microsoft.com/office/drawing/2014/chart" uri="{C3380CC4-5D6E-409C-BE32-E72D297353CC}">
                    <c16:uniqueId val="{0000000B-3EC8-4FA0-8CC3-4F71E2301C13}"/>
                  </c:ext>
                </c:extLst>
              </c15:ser>
            </c15:filteredLineSeries>
            <c15:filteredLineSeries>
              <c15:ser>
                <c:idx val="12"/>
                <c:order val="12"/>
                <c:tx>
                  <c:strRef>
                    <c:extLst xmlns:c15="http://schemas.microsoft.com/office/drawing/2012/chart">
                      <c:ext xmlns:c15="http://schemas.microsoft.com/office/drawing/2012/chart" uri="{02D57815-91ED-43cb-92C2-25804820EDAC}">
                        <c15:formulaRef>
                          <c15:sqref>'Paypal 3statement Model'!$B$44</c15:sqref>
                        </c15:formulaRef>
                      </c:ext>
                    </c:extLst>
                    <c:strCache>
                      <c:ptCount val="1"/>
                      <c:pt idx="0">
                        <c:v>Income tax expense</c:v>
                      </c:pt>
                    </c:strCache>
                  </c:strRef>
                </c:tx>
                <c:spPr>
                  <a:ln w="28575" cap="rnd">
                    <a:solidFill>
                      <a:schemeClr val="accent1">
                        <a:lumMod val="80000"/>
                        <a:lumOff val="20000"/>
                      </a:schemeClr>
                    </a:solidFill>
                    <a:round/>
                  </a:ln>
                  <a:effectLst/>
                </c:spPr>
                <c:marker>
                  <c:symbol val="none"/>
                </c:marker>
                <c:cat>
                  <c:strRef>
                    <c:extLst xmlns:c15="http://schemas.microsoft.com/office/drawing/2012/chart">
                      <c:ext xmlns:c15="http://schemas.microsoft.com/office/drawing/2012/chart" uri="{02D57815-91ED-43cb-92C2-25804820EDAC}">
                        <c15:formulaRef>
                          <c15:sqref>'Paypal 3statement Model'!$C$31:$N$31</c15:sqref>
                        </c15:formulaRef>
                      </c:ext>
                    </c:extLst>
                    <c:strCache>
                      <c:ptCount val="12"/>
                      <c:pt idx="0">
                        <c:v>Q122</c:v>
                      </c:pt>
                      <c:pt idx="1">
                        <c:v>Q222</c:v>
                      </c:pt>
                      <c:pt idx="2">
                        <c:v>Q322</c:v>
                      </c:pt>
                      <c:pt idx="3">
                        <c:v>Q123</c:v>
                      </c:pt>
                      <c:pt idx="4">
                        <c:v>Q223</c:v>
                      </c:pt>
                      <c:pt idx="5">
                        <c:v>Q323</c:v>
                      </c:pt>
                      <c:pt idx="6">
                        <c:v>Q124</c:v>
                      </c:pt>
                      <c:pt idx="7">
                        <c:v>Q224</c:v>
                      </c:pt>
                      <c:pt idx="8">
                        <c:v>Q324</c:v>
                      </c:pt>
                      <c:pt idx="9">
                        <c:v>Q125</c:v>
                      </c:pt>
                      <c:pt idx="10">
                        <c:v>Q225</c:v>
                      </c:pt>
                      <c:pt idx="11">
                        <c:v>Q325</c:v>
                      </c:pt>
                    </c:strCache>
                  </c:strRef>
                </c:cat>
                <c:val>
                  <c:numRef>
                    <c:extLst xmlns:c15="http://schemas.microsoft.com/office/drawing/2012/chart">
                      <c:ext xmlns:c15="http://schemas.microsoft.com/office/drawing/2012/chart" uri="{02D57815-91ED-43cb-92C2-25804820EDAC}">
                        <c15:formulaRef>
                          <c15:sqref>'Paypal 3statement Model'!$C$44:$N$44</c15:sqref>
                        </c15:formulaRef>
                      </c:ext>
                    </c:extLst>
                    <c:numCache>
                      <c:formatCode>#,##0_);\(#,##0\)</c:formatCode>
                      <c:ptCount val="12"/>
                      <c:pt idx="0">
                        <c:v>120</c:v>
                      </c:pt>
                      <c:pt idx="1">
                        <c:v>390</c:v>
                      </c:pt>
                      <c:pt idx="2" formatCode="General">
                        <c:v>248</c:v>
                      </c:pt>
                      <c:pt idx="3" formatCode="General">
                        <c:v>279</c:v>
                      </c:pt>
                      <c:pt idx="4" formatCode="General">
                        <c:v>274</c:v>
                      </c:pt>
                      <c:pt idx="5" formatCode="General">
                        <c:v>221</c:v>
                      </c:pt>
                      <c:pt idx="6" formatCode="General">
                        <c:v>321</c:v>
                      </c:pt>
                      <c:pt idx="7" formatCode="General">
                        <c:v>271</c:v>
                      </c:pt>
                      <c:pt idx="8" formatCode="General">
                        <c:v>301</c:v>
                      </c:pt>
                      <c:pt idx="9" formatCode="General">
                        <c:v>316</c:v>
                      </c:pt>
                      <c:pt idx="10" formatCode="General">
                        <c:v>268</c:v>
                      </c:pt>
                      <c:pt idx="11" formatCode="General">
                        <c:v>285</c:v>
                      </c:pt>
                    </c:numCache>
                  </c:numRef>
                </c:val>
                <c:smooth val="0"/>
                <c:extLst xmlns:c15="http://schemas.microsoft.com/office/drawing/2012/chart">
                  <c:ext xmlns:c16="http://schemas.microsoft.com/office/drawing/2014/chart" uri="{C3380CC4-5D6E-409C-BE32-E72D297353CC}">
                    <c16:uniqueId val="{0000000C-3EC8-4FA0-8CC3-4F71E2301C13}"/>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'Paypal 3statement Model'!$B$45</c15:sqref>
                        </c15:formulaRef>
                      </c:ext>
                    </c:extLst>
                    <c:strCache>
                      <c:ptCount val="1"/>
                      <c:pt idx="0">
                        <c:v>Net income (loss)</c:v>
                      </c:pt>
                    </c:strCache>
                  </c:strRef>
                </c:tx>
                <c:spPr>
                  <a:ln w="28575" cap="rnd">
                    <a:solidFill>
                      <a:schemeClr val="accent2">
                        <a:lumMod val="80000"/>
                        <a:lumOff val="20000"/>
                      </a:schemeClr>
                    </a:solidFill>
                    <a:round/>
                  </a:ln>
                  <a:effectLst/>
                </c:spPr>
                <c:marker>
                  <c:symbol val="none"/>
                </c:marker>
                <c:cat>
                  <c:strRef>
                    <c:extLst xmlns:c15="http://schemas.microsoft.com/office/drawing/2012/chart">
                      <c:ext xmlns:c15="http://schemas.microsoft.com/office/drawing/2012/chart" uri="{02D57815-91ED-43cb-92C2-25804820EDAC}">
                        <c15:formulaRef>
                          <c15:sqref>'Paypal 3statement Model'!$C$31:$N$31</c15:sqref>
                        </c15:formulaRef>
                      </c:ext>
                    </c:extLst>
                    <c:strCache>
                      <c:ptCount val="12"/>
                      <c:pt idx="0">
                        <c:v>Q122</c:v>
                      </c:pt>
                      <c:pt idx="1">
                        <c:v>Q222</c:v>
                      </c:pt>
                      <c:pt idx="2">
                        <c:v>Q322</c:v>
                      </c:pt>
                      <c:pt idx="3">
                        <c:v>Q123</c:v>
                      </c:pt>
                      <c:pt idx="4">
                        <c:v>Q223</c:v>
                      </c:pt>
                      <c:pt idx="5">
                        <c:v>Q323</c:v>
                      </c:pt>
                      <c:pt idx="6">
                        <c:v>Q124</c:v>
                      </c:pt>
                      <c:pt idx="7">
                        <c:v>Q224</c:v>
                      </c:pt>
                      <c:pt idx="8">
                        <c:v>Q324</c:v>
                      </c:pt>
                      <c:pt idx="9">
                        <c:v>Q125</c:v>
                      </c:pt>
                      <c:pt idx="10">
                        <c:v>Q225</c:v>
                      </c:pt>
                      <c:pt idx="11">
                        <c:v>Q325</c:v>
                      </c:pt>
                    </c:strCache>
                  </c:strRef>
                </c:cat>
                <c:val>
                  <c:numRef>
                    <c:extLst xmlns:c15="http://schemas.microsoft.com/office/drawing/2012/chart">
                      <c:ext xmlns:c15="http://schemas.microsoft.com/office/drawing/2012/chart" uri="{02D57815-91ED-43cb-92C2-25804820EDAC}">
                        <c15:formulaRef>
                          <c15:sqref>'Paypal 3statement Model'!$C$45:$N$45</c15:sqref>
                        </c15:formulaRef>
                      </c:ext>
                    </c:extLst>
                    <c:numCache>
                      <c:formatCode>#,##0_);\(#,##0\)</c:formatCode>
                      <c:ptCount val="12"/>
                      <c:pt idx="0">
                        <c:v>4175</c:v>
                      </c:pt>
                      <c:pt idx="1">
                        <c:v>3197</c:v>
                      </c:pt>
                      <c:pt idx="2">
                        <c:v>4926</c:v>
                      </c:pt>
                      <c:pt idx="3">
                        <c:v>4303</c:v>
                      </c:pt>
                      <c:pt idx="4">
                        <c:v>4475</c:v>
                      </c:pt>
                      <c:pt idx="5">
                        <c:v>4363</c:v>
                      </c:pt>
                      <c:pt idx="6">
                        <c:v>4227</c:v>
                      </c:pt>
                      <c:pt idx="7">
                        <c:v>4433</c:v>
                      </c:pt>
                      <c:pt idx="8">
                        <c:v>4381</c:v>
                      </c:pt>
                      <c:pt idx="9">
                        <c:v>2406</c:v>
                      </c:pt>
                      <c:pt idx="10">
                        <c:v>2350</c:v>
                      </c:pt>
                      <c:pt idx="11">
                        <c:v>2387</c:v>
                      </c:pt>
                    </c:numCache>
                  </c:numRef>
                </c:val>
                <c:smooth val="0"/>
                <c:extLst xmlns:c15="http://schemas.microsoft.com/office/drawing/2012/chart">
                  <c:ext xmlns:c16="http://schemas.microsoft.com/office/drawing/2014/chart" uri="{C3380CC4-5D6E-409C-BE32-E72D297353CC}">
                    <c16:uniqueId val="{0000000D-3EC8-4FA0-8CC3-4F71E2301C13}"/>
                  </c:ext>
                </c:extLst>
              </c15:ser>
            </c15:filteredLineSeries>
          </c:ext>
        </c:extLst>
      </c:lineChart>
      <c:catAx>
        <c:axId val="186409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088368"/>
        <c:crosses val="autoZero"/>
        <c:auto val="1"/>
        <c:lblAlgn val="ctr"/>
        <c:lblOffset val="100"/>
        <c:noMultiLvlLbl val="0"/>
      </c:catAx>
      <c:valAx>
        <c:axId val="1864088368"/>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098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Cash Flow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'Paypal 3statement Model'!$B$159</c:f>
              <c:strCache>
                <c:ptCount val="1"/>
                <c:pt idx="0">
                  <c:v>Total cash</c:v>
                </c:pt>
              </c:strCache>
            </c:strRef>
          </c:tx>
          <c:spPr>
            <a:ln w="28575" cap="rnd">
              <a:solidFill>
                <a:schemeClr val="accent1"/>
              </a:solidFill>
              <a:round/>
            </a:ln>
            <a:effectLst/>
          </c:spPr>
          <c:marker>
            <c:symbol val="none"/>
          </c:marker>
          <c:cat>
            <c:strRef>
              <c:extLst>
                <c:ext xmlns:c15="http://schemas.microsoft.com/office/drawing/2012/chart" uri="{02D57815-91ED-43cb-92C2-25804820EDAC}">
                  <c15:fullRef>
                    <c15:sqref>'Paypal 3statement Model'!$B$108:$Q$108</c15:sqref>
                  </c15:fullRef>
                </c:ext>
              </c:extLst>
              <c:f>'Paypal 3statement Model'!$C$108:$Q$108</c:f>
              <c:strCache>
                <c:ptCount val="15"/>
                <c:pt idx="0">
                  <c:v>Q122</c:v>
                </c:pt>
                <c:pt idx="1">
                  <c:v>Q222</c:v>
                </c:pt>
                <c:pt idx="2">
                  <c:v>Q322</c:v>
                </c:pt>
                <c:pt idx="3">
                  <c:v>Q123</c:v>
                </c:pt>
                <c:pt idx="4">
                  <c:v>Q223</c:v>
                </c:pt>
                <c:pt idx="5">
                  <c:v>Q323</c:v>
                </c:pt>
                <c:pt idx="6">
                  <c:v>Q124</c:v>
                </c:pt>
                <c:pt idx="7">
                  <c:v>Q224</c:v>
                </c:pt>
                <c:pt idx="8">
                  <c:v>Q324</c:v>
                </c:pt>
                <c:pt idx="9">
                  <c:v>Q125</c:v>
                </c:pt>
                <c:pt idx="10">
                  <c:v>Q225</c:v>
                </c:pt>
                <c:pt idx="11">
                  <c:v>Q325</c:v>
                </c:pt>
                <c:pt idx="12">
                  <c:v>Q126</c:v>
                </c:pt>
                <c:pt idx="13">
                  <c:v>Q226</c:v>
                </c:pt>
                <c:pt idx="14">
                  <c:v>Q326</c:v>
                </c:pt>
              </c:strCache>
            </c:strRef>
          </c:cat>
          <c:val>
            <c:numRef>
              <c:extLst>
                <c:ext xmlns:c15="http://schemas.microsoft.com/office/drawing/2012/chart" uri="{02D57815-91ED-43cb-92C2-25804820EDAC}">
                  <c15:fullRef>
                    <c15:sqref>'Paypal 3statement Model'!$C$159:$O$159</c15:sqref>
                  </c15:fullRef>
                </c:ext>
              </c:extLst>
              <c:f>'Paypal 3statement Model'!$D$159:$O$159</c:f>
              <c:numCache>
                <c:formatCode>#,##0_);\(#,##0\)</c:formatCode>
                <c:ptCount val="12"/>
                <c:pt idx="0">
                  <c:v>2224</c:v>
                </c:pt>
                <c:pt idx="1">
                  <c:v>4276</c:v>
                </c:pt>
                <c:pt idx="2">
                  <c:v>2046</c:v>
                </c:pt>
                <c:pt idx="3">
                  <c:v>-65</c:v>
                </c:pt>
                <c:pt idx="4">
                  <c:v>2400</c:v>
                </c:pt>
                <c:pt idx="5">
                  <c:v>580</c:v>
                </c:pt>
                <c:pt idx="6">
                  <c:v>3733</c:v>
                </c:pt>
                <c:pt idx="7">
                  <c:v>5422</c:v>
                </c:pt>
                <c:pt idx="8">
                  <c:v>-214</c:v>
                </c:pt>
                <c:pt idx="9">
                  <c:v>-456</c:v>
                </c:pt>
                <c:pt idx="10">
                  <c:v>5180</c:v>
                </c:pt>
              </c:numCache>
            </c:numRef>
          </c:val>
          <c:smooth val="0"/>
          <c:extLst>
            <c:ext xmlns:c16="http://schemas.microsoft.com/office/drawing/2014/chart" uri="{C3380CC4-5D6E-409C-BE32-E72D297353CC}">
              <c16:uniqueId val="{00000000-833C-4B3B-BFF0-DD847C12A6C0}"/>
            </c:ext>
          </c:extLst>
        </c:ser>
        <c:dLbls>
          <c:showLegendKey val="0"/>
          <c:showVal val="0"/>
          <c:showCatName val="0"/>
          <c:showSerName val="0"/>
          <c:showPercent val="0"/>
          <c:showBubbleSize val="0"/>
        </c:dLbls>
        <c:smooth val="0"/>
        <c:axId val="1304299007"/>
        <c:axId val="1304299487"/>
      </c:lineChart>
      <c:catAx>
        <c:axId val="130429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299487"/>
        <c:crosses val="autoZero"/>
        <c:auto val="1"/>
        <c:lblAlgn val="ctr"/>
        <c:lblOffset val="100"/>
        <c:noMultiLvlLbl val="0"/>
      </c:catAx>
      <c:valAx>
        <c:axId val="130429948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29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28</xdr:col>
      <xdr:colOff>4685</xdr:colOff>
      <xdr:row>33</xdr:row>
      <xdr:rowOff>177103</xdr:rowOff>
    </xdr:from>
    <xdr:to>
      <xdr:col>35</xdr:col>
      <xdr:colOff>581025</xdr:colOff>
      <xdr:row>48</xdr:row>
      <xdr:rowOff>19050</xdr:rowOff>
    </xdr:to>
    <xdr:graphicFrame macro="">
      <xdr:nvGraphicFramePr>
        <xdr:cNvPr id="5" name="Chart 4">
          <a:extLst>
            <a:ext uri="{FF2B5EF4-FFF2-40B4-BE49-F238E27FC236}">
              <a16:creationId xmlns:a16="http://schemas.microsoft.com/office/drawing/2014/main" id="{5A2E3FA9-76FB-3EE2-370F-5D687BC5E1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5448</xdr:colOff>
      <xdr:row>50</xdr:row>
      <xdr:rowOff>6876</xdr:rowOff>
    </xdr:from>
    <xdr:to>
      <xdr:col>35</xdr:col>
      <xdr:colOff>571499</xdr:colOff>
      <xdr:row>64</xdr:row>
      <xdr:rowOff>171450</xdr:rowOff>
    </xdr:to>
    <xdr:graphicFrame macro="">
      <xdr:nvGraphicFramePr>
        <xdr:cNvPr id="7" name="Chart 6">
          <a:extLst>
            <a:ext uri="{FF2B5EF4-FFF2-40B4-BE49-F238E27FC236}">
              <a16:creationId xmlns:a16="http://schemas.microsoft.com/office/drawing/2014/main" id="{F06F7BC1-3408-D65C-5827-DA998E9CCE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582146</xdr:colOff>
      <xdr:row>67</xdr:row>
      <xdr:rowOff>1272</xdr:rowOff>
    </xdr:from>
    <xdr:to>
      <xdr:col>36</xdr:col>
      <xdr:colOff>0</xdr:colOff>
      <xdr:row>80</xdr:row>
      <xdr:rowOff>171450</xdr:rowOff>
    </xdr:to>
    <xdr:graphicFrame macro="">
      <xdr:nvGraphicFramePr>
        <xdr:cNvPr id="2" name="Chart 1">
          <a:extLst>
            <a:ext uri="{FF2B5EF4-FFF2-40B4-BE49-F238E27FC236}">
              <a16:creationId xmlns:a16="http://schemas.microsoft.com/office/drawing/2014/main" id="{52D34EB3-642F-2413-B3AE-30FB415EEE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A477F-D760-4136-AEA4-C1B604483D0F}">
  <dimension ref="A2:AC81"/>
  <sheetViews>
    <sheetView tabSelected="1" zoomScale="85" zoomScaleNormal="85" workbookViewId="0">
      <selection activeCell="B3" sqref="B3:D3"/>
    </sheetView>
  </sheetViews>
  <sheetFormatPr defaultColWidth="8.85546875" defaultRowHeight="15"/>
  <cols>
    <col min="2" max="2" width="21" customWidth="1"/>
    <col min="3" max="3" width="15.28515625" customWidth="1"/>
    <col min="4" max="4" width="19.28515625" bestFit="1" customWidth="1"/>
    <col min="5" max="5" width="9.85546875" customWidth="1"/>
    <col min="6" max="6" width="18" customWidth="1"/>
    <col min="7" max="7" width="17.28515625" bestFit="1" customWidth="1"/>
    <col min="8" max="8" width="8.7109375" bestFit="1" customWidth="1"/>
    <col min="9" max="9" width="25.7109375" bestFit="1" customWidth="1"/>
    <col min="10" max="10" width="23.7109375" bestFit="1" customWidth="1"/>
    <col min="11" max="11" width="15.85546875" bestFit="1" customWidth="1"/>
    <col min="12" max="14" width="15.28515625" bestFit="1" customWidth="1"/>
    <col min="15" max="15" width="18.28515625" bestFit="1" customWidth="1"/>
    <col min="16" max="16" width="17.85546875" bestFit="1" customWidth="1"/>
    <col min="17" max="17" width="15.85546875" bestFit="1" customWidth="1"/>
    <col min="18" max="18" width="13.140625" customWidth="1"/>
    <col min="20" max="20" width="9.85546875" bestFit="1" customWidth="1"/>
    <col min="21" max="21" width="13.42578125" bestFit="1" customWidth="1"/>
    <col min="22" max="22" width="13.28515625" bestFit="1" customWidth="1"/>
    <col min="23" max="23" width="11.7109375" customWidth="1"/>
    <col min="24" max="24" width="7.140625" customWidth="1"/>
    <col min="25" max="25" width="10.5703125" bestFit="1" customWidth="1"/>
    <col min="26" max="27" width="9.7109375" bestFit="1" customWidth="1"/>
    <col min="28" max="28" width="12.28515625" bestFit="1" customWidth="1"/>
  </cols>
  <sheetData>
    <row r="2" spans="1:29" ht="26.25">
      <c r="B2" s="155" t="s">
        <v>382</v>
      </c>
      <c r="C2" s="155"/>
      <c r="D2" s="155"/>
      <c r="E2" s="157"/>
      <c r="F2" s="157"/>
      <c r="AB2" s="156"/>
      <c r="AC2" s="156"/>
    </row>
    <row r="3" spans="1:29" ht="26.25" customHeight="1">
      <c r="B3" s="160" t="s">
        <v>381</v>
      </c>
      <c r="C3" s="160"/>
      <c r="D3" s="160"/>
      <c r="E3" s="158"/>
      <c r="F3" s="158"/>
      <c r="AB3" s="159"/>
      <c r="AC3" s="159"/>
    </row>
    <row r="5" spans="1:29" ht="15.75">
      <c r="B5" s="74" t="s">
        <v>351</v>
      </c>
      <c r="C5" s="97">
        <v>46051</v>
      </c>
      <c r="D5" s="74"/>
      <c r="E5" s="74"/>
      <c r="F5" s="74"/>
      <c r="G5" s="74"/>
      <c r="H5" s="74"/>
      <c r="I5" s="74"/>
      <c r="J5" s="74"/>
      <c r="K5" s="74"/>
      <c r="L5" s="74"/>
      <c r="M5" s="74"/>
      <c r="N5" s="74"/>
      <c r="O5" s="74"/>
      <c r="P5" s="74"/>
      <c r="Q5" s="74"/>
      <c r="R5" s="74"/>
      <c r="S5" s="74"/>
      <c r="T5" s="74"/>
      <c r="U5" s="74"/>
      <c r="V5" s="74"/>
      <c r="W5" s="74"/>
      <c r="X5" s="74"/>
    </row>
    <row r="6" spans="1:29" ht="15.75">
      <c r="B6" s="74" t="s">
        <v>356</v>
      </c>
      <c r="C6" s="98" t="s">
        <v>357</v>
      </c>
      <c r="D6" s="74"/>
      <c r="E6" s="74"/>
      <c r="F6" s="74"/>
      <c r="G6" s="74"/>
      <c r="H6" s="74"/>
      <c r="I6" s="74"/>
      <c r="J6" s="74"/>
      <c r="K6" s="74"/>
      <c r="L6" s="74"/>
      <c r="M6" s="74"/>
      <c r="N6" s="74"/>
      <c r="O6" s="74"/>
      <c r="P6" s="74"/>
      <c r="Q6" s="74"/>
      <c r="R6" s="74"/>
      <c r="S6" s="74"/>
      <c r="T6" s="74"/>
      <c r="U6" s="74"/>
      <c r="V6" s="74"/>
      <c r="W6" s="74"/>
      <c r="X6" s="74"/>
    </row>
    <row r="7" spans="1:29" ht="15.75">
      <c r="B7" s="118" t="s">
        <v>367</v>
      </c>
      <c r="C7" s="118"/>
      <c r="D7" s="118"/>
      <c r="E7" s="74"/>
      <c r="F7" s="74"/>
      <c r="G7" s="74"/>
      <c r="H7" s="74"/>
      <c r="I7" s="74"/>
      <c r="J7" s="74"/>
      <c r="K7" s="74"/>
      <c r="L7" s="74"/>
      <c r="M7" s="74"/>
      <c r="N7" s="74"/>
      <c r="O7" s="74"/>
      <c r="P7" s="74"/>
      <c r="Q7" s="74"/>
      <c r="R7" s="74"/>
      <c r="S7" s="74"/>
      <c r="T7" s="74"/>
      <c r="U7" s="74"/>
      <c r="V7" s="74"/>
      <c r="W7" s="74"/>
      <c r="X7" s="74"/>
    </row>
    <row r="8" spans="1:29" ht="15.75">
      <c r="B8" s="74"/>
      <c r="C8" s="96"/>
      <c r="D8" s="74"/>
      <c r="E8" s="74"/>
      <c r="F8" s="74"/>
      <c r="G8" s="74"/>
      <c r="H8" s="74"/>
      <c r="I8" s="74"/>
      <c r="J8" s="74"/>
      <c r="K8" s="74"/>
      <c r="L8" s="74"/>
      <c r="M8" s="74"/>
      <c r="N8" s="74"/>
      <c r="O8" s="74"/>
      <c r="P8" s="74"/>
      <c r="Q8" s="74"/>
      <c r="R8" s="74"/>
      <c r="S8" s="74"/>
      <c r="T8" s="74"/>
      <c r="U8" s="74"/>
      <c r="V8" s="74"/>
      <c r="W8" s="74"/>
      <c r="X8" s="74"/>
    </row>
    <row r="9" spans="1:29" ht="15.75">
      <c r="B9" s="74"/>
      <c r="C9" s="74"/>
      <c r="D9" s="74"/>
      <c r="E9" s="74"/>
      <c r="F9" s="74"/>
      <c r="G9" s="74"/>
      <c r="H9" s="74"/>
      <c r="I9" s="74"/>
      <c r="J9" s="74"/>
      <c r="K9" s="74"/>
      <c r="L9" s="74"/>
      <c r="M9" s="74"/>
      <c r="N9" s="74"/>
      <c r="O9" s="74"/>
      <c r="P9" s="74"/>
      <c r="Q9" s="74"/>
      <c r="R9" s="74"/>
      <c r="S9" s="74"/>
      <c r="T9" s="74"/>
      <c r="U9" s="74"/>
      <c r="V9" s="74"/>
      <c r="W9" s="74"/>
      <c r="X9" s="74"/>
    </row>
    <row r="10" spans="1:29" ht="15.75">
      <c r="B10" s="74"/>
      <c r="C10" s="74"/>
      <c r="D10" s="74"/>
      <c r="E10" s="74"/>
      <c r="F10" s="74"/>
      <c r="G10" s="74"/>
      <c r="H10" s="74"/>
      <c r="I10" s="74"/>
      <c r="J10" s="74"/>
      <c r="K10" s="74"/>
      <c r="L10" s="74"/>
      <c r="M10" s="74"/>
      <c r="N10" s="74"/>
      <c r="O10" s="74"/>
      <c r="P10" s="74"/>
      <c r="Q10" s="74"/>
      <c r="R10" s="74"/>
      <c r="S10" s="74"/>
      <c r="T10" s="74"/>
      <c r="U10" s="74"/>
      <c r="V10" s="74"/>
      <c r="W10" s="74"/>
      <c r="X10" s="74"/>
    </row>
    <row r="11" spans="1:29" ht="15.75">
      <c r="B11" s="99"/>
      <c r="C11" s="99"/>
      <c r="D11" s="99"/>
      <c r="E11" s="99"/>
      <c r="F11" s="99"/>
      <c r="G11" s="99"/>
      <c r="H11" s="99"/>
      <c r="I11" s="100"/>
      <c r="J11" s="100"/>
      <c r="K11" s="100"/>
      <c r="L11" s="100"/>
      <c r="M11" s="100"/>
      <c r="N11" s="100"/>
      <c r="O11" s="100"/>
      <c r="P11" s="99"/>
      <c r="Q11" s="116" t="s">
        <v>366</v>
      </c>
      <c r="R11" s="116"/>
      <c r="S11" s="116"/>
      <c r="T11" s="116"/>
      <c r="U11" s="116"/>
      <c r="V11" s="116"/>
      <c r="W11" s="116"/>
      <c r="X11" s="116" t="s">
        <v>377</v>
      </c>
      <c r="Y11" s="116"/>
      <c r="Z11" s="116"/>
      <c r="AA11" s="116"/>
      <c r="AB11" s="116"/>
      <c r="AC11" s="116"/>
    </row>
    <row r="12" spans="1:29" ht="18.75">
      <c r="B12" s="99"/>
      <c r="C12" s="99"/>
      <c r="D12" s="119" t="s">
        <v>319</v>
      </c>
      <c r="E12" s="119" t="s">
        <v>355</v>
      </c>
      <c r="F12" s="119" t="s">
        <v>364</v>
      </c>
      <c r="G12" s="119" t="s">
        <v>309</v>
      </c>
      <c r="H12" s="99"/>
      <c r="I12" s="115" t="s">
        <v>24</v>
      </c>
      <c r="J12" s="115"/>
      <c r="K12" s="115"/>
      <c r="L12" s="115" t="s">
        <v>141</v>
      </c>
      <c r="M12" s="115"/>
      <c r="N12" s="115" t="s">
        <v>368</v>
      </c>
      <c r="O12" s="115"/>
      <c r="P12" s="99"/>
      <c r="Q12" s="115" t="s">
        <v>363</v>
      </c>
      <c r="R12" s="115"/>
      <c r="S12" s="115" t="s">
        <v>352</v>
      </c>
      <c r="T12" s="115"/>
      <c r="U12" s="115" t="s">
        <v>39</v>
      </c>
      <c r="V12" s="115"/>
      <c r="W12" s="100"/>
      <c r="X12" s="115" t="s">
        <v>369</v>
      </c>
      <c r="Y12" s="115"/>
      <c r="Z12" s="115" t="s">
        <v>301</v>
      </c>
      <c r="AA12" s="115"/>
      <c r="AB12" s="115" t="s">
        <v>353</v>
      </c>
      <c r="AC12" s="115"/>
    </row>
    <row r="13" spans="1:29" ht="15.75">
      <c r="B13" s="102" t="s">
        <v>354</v>
      </c>
      <c r="C13" s="102" t="s">
        <v>0</v>
      </c>
      <c r="D13" s="119"/>
      <c r="E13" s="119"/>
      <c r="F13" s="119"/>
      <c r="G13" s="119" t="s">
        <v>309</v>
      </c>
      <c r="H13" s="101"/>
      <c r="I13" s="103" t="s">
        <v>358</v>
      </c>
      <c r="J13" s="103" t="s">
        <v>359</v>
      </c>
      <c r="K13" s="103" t="s">
        <v>360</v>
      </c>
      <c r="L13" s="103" t="s">
        <v>361</v>
      </c>
      <c r="M13" s="103" t="s">
        <v>362</v>
      </c>
      <c r="N13" s="103" t="s">
        <v>361</v>
      </c>
      <c r="O13" s="103" t="s">
        <v>362</v>
      </c>
      <c r="P13" s="102"/>
      <c r="Q13" s="103" t="s">
        <v>361</v>
      </c>
      <c r="R13" s="103" t="s">
        <v>362</v>
      </c>
      <c r="S13" s="103" t="s">
        <v>365</v>
      </c>
      <c r="T13" s="103">
        <v>24</v>
      </c>
      <c r="U13" s="103" t="s">
        <v>361</v>
      </c>
      <c r="V13" s="103" t="s">
        <v>362</v>
      </c>
      <c r="W13" s="103"/>
      <c r="X13" s="103" t="s">
        <v>365</v>
      </c>
      <c r="Y13" s="103">
        <v>24</v>
      </c>
      <c r="Z13" s="103" t="s">
        <v>361</v>
      </c>
      <c r="AA13" s="103" t="s">
        <v>362</v>
      </c>
      <c r="AB13" s="103" t="s">
        <v>361</v>
      </c>
      <c r="AC13" s="103" t="s">
        <v>362</v>
      </c>
    </row>
    <row r="14" spans="1:29" ht="15.75">
      <c r="B14" s="104" t="s">
        <v>62</v>
      </c>
      <c r="C14" s="105" t="str">
        <f t="shared" ref="C14:C21" si="0">_xlfn.XLOOKUP(B14,$C$59:$C$71,$B$59:$B$71)</f>
        <v xml:space="preserve">Block Inc. </v>
      </c>
      <c r="D14" s="106">
        <f t="shared" ref="D14:D21" si="1">_xlfn.XLOOKUP(B14,$C$59:$C$71,D$59:D$71)</f>
        <v>74.540000000000006</v>
      </c>
      <c r="E14" s="106">
        <f t="shared" ref="E14:E21" si="2">_xlfn.XLOOKUP(B14,$C$59:$C$71,E$59:E$71)</f>
        <v>619.48</v>
      </c>
      <c r="F14" s="106">
        <f>_xlfn.XLOOKUP($B14,$C$59:$C$71,F$59:F$71)</f>
        <v>46176.039200000007</v>
      </c>
      <c r="G14" s="106">
        <f t="shared" ref="G14:G21" si="3">_xlfn.XLOOKUP($B14,$C$59:$C$71,K$59:K$71)</f>
        <v>11932.905200000008</v>
      </c>
      <c r="H14" s="68"/>
      <c r="I14" s="106">
        <f t="shared" ref="I14:K21" si="4">_xlfn.XLOOKUP($B14,$C$59:$C$71,L$59:L$71)</f>
        <v>17531.587</v>
      </c>
      <c r="J14" s="106">
        <f t="shared" si="4"/>
        <v>21915.623</v>
      </c>
      <c r="K14" s="106">
        <f t="shared" si="4"/>
        <v>24121.053</v>
      </c>
      <c r="L14" s="106">
        <f t="shared" ref="L14:M21" si="5">_xlfn.XLOOKUP($B14,$C$59:$C$71,P$59:P$71)</f>
        <v>-31.966000000000001</v>
      </c>
      <c r="M14" s="106">
        <f t="shared" si="5"/>
        <v>1115.4000000000001</v>
      </c>
      <c r="N14" s="106">
        <f t="shared" ref="N14:O21" si="6">_xlfn.XLOOKUP($B14,$C$59:$C$71,S$59:S$71)</f>
        <v>-21.123999999999999</v>
      </c>
      <c r="O14" s="106">
        <f t="shared" si="6"/>
        <v>2866.4969999999998</v>
      </c>
      <c r="P14" s="107"/>
      <c r="Q14" s="112">
        <f>(J14-I14)/I14</f>
        <v>0.25006498270806859</v>
      </c>
      <c r="R14" s="112">
        <f>(K14-J14)/J14</f>
        <v>0.10063277690075251</v>
      </c>
      <c r="S14" s="112">
        <f>L14/J14</f>
        <v>-1.4585941727506446E-3</v>
      </c>
      <c r="T14" s="112">
        <f>M14/K14</f>
        <v>4.6241762331022618E-2</v>
      </c>
      <c r="U14" s="112">
        <f>N14/J14</f>
        <v>-9.6387859929877417E-4</v>
      </c>
      <c r="V14" s="112">
        <f>O14/K14</f>
        <v>0.11883797112837487</v>
      </c>
      <c r="W14" s="108"/>
      <c r="X14" s="109">
        <f>$G14/J14</f>
        <v>0.5444930860509879</v>
      </c>
      <c r="Y14" s="109">
        <f>$G14/K14</f>
        <v>0.49470913230861058</v>
      </c>
      <c r="Z14" s="109">
        <f t="shared" ref="Z14:AA14" si="7">$G14/L14</f>
        <v>-373.29991866358029</v>
      </c>
      <c r="AA14" s="109">
        <f t="shared" si="7"/>
        <v>10.698319168011482</v>
      </c>
      <c r="AB14" s="110">
        <f>$F14/N14</f>
        <v>-2185.9514864608982</v>
      </c>
      <c r="AC14" s="110">
        <f>$F14/O14</f>
        <v>16.108874071732853</v>
      </c>
    </row>
    <row r="15" spans="1:29" ht="15.75">
      <c r="A15">
        <v>1</v>
      </c>
      <c r="B15" s="92" t="s">
        <v>7</v>
      </c>
      <c r="C15" s="74" t="str">
        <f t="shared" si="0"/>
        <v>Shopify</v>
      </c>
      <c r="D15" s="82">
        <f t="shared" si="1"/>
        <v>158.94</v>
      </c>
      <c r="E15" s="82">
        <f t="shared" si="2"/>
        <v>1294.8207339999999</v>
      </c>
      <c r="F15" s="82">
        <f>_xlfn.XLOOKUP($B15,$C$59:$C$71,F$59:F$71)</f>
        <v>205798.80746195998</v>
      </c>
      <c r="G15" s="82">
        <f t="shared" si="3"/>
        <v>205218.80746195998</v>
      </c>
      <c r="I15" s="82">
        <f t="shared" si="4"/>
        <v>5600</v>
      </c>
      <c r="J15" s="82">
        <f t="shared" si="4"/>
        <v>7060</v>
      </c>
      <c r="K15" s="82">
        <f t="shared" si="4"/>
        <v>8880</v>
      </c>
      <c r="L15" s="82">
        <f t="shared" si="5"/>
        <v>-1348</v>
      </c>
      <c r="M15" s="82">
        <f t="shared" si="5"/>
        <v>1111</v>
      </c>
      <c r="N15" s="82">
        <f t="shared" si="6"/>
        <v>132</v>
      </c>
      <c r="O15" s="82">
        <f t="shared" si="6"/>
        <v>2019</v>
      </c>
      <c r="Q15" s="113">
        <f t="shared" ref="Q15:Q21" si="8">(J15-I15)/I15</f>
        <v>0.26071428571428573</v>
      </c>
      <c r="R15" s="113">
        <f t="shared" ref="R15:R21" si="9">(K15-J15)/J15</f>
        <v>0.25779036827195467</v>
      </c>
      <c r="S15" s="114">
        <f t="shared" ref="S15:S21" si="10">L15/J15</f>
        <v>-0.19093484419263457</v>
      </c>
      <c r="T15" s="113">
        <f t="shared" ref="T15:T21" si="11">M15/K15</f>
        <v>0.12511261261261261</v>
      </c>
      <c r="U15" s="113">
        <f t="shared" ref="U15:U21" si="12">N15/J15</f>
        <v>1.8696883852691217E-2</v>
      </c>
      <c r="V15" s="113">
        <f t="shared" ref="V15:V21" si="13">O15/K15</f>
        <v>0.22736486486486487</v>
      </c>
      <c r="X15" s="111">
        <f t="shared" ref="X15:X21" si="14">$G15/J15</f>
        <v>29.067819753818693</v>
      </c>
      <c r="Y15" s="111">
        <f t="shared" ref="Y15:Y21" si="15">$G15/K15</f>
        <v>23.110226065536033</v>
      </c>
      <c r="Z15" s="111">
        <f t="shared" ref="Z15:Z21" si="16">$G15/L15</f>
        <v>-152.23947141094953</v>
      </c>
      <c r="AA15" s="111">
        <f t="shared" ref="AA15:AA21" si="17">$G15/M15</f>
        <v>184.71539825558955</v>
      </c>
      <c r="AB15" s="111">
        <f>$F15/N15</f>
        <v>1559.081874711818</v>
      </c>
      <c r="AC15" s="111">
        <f t="shared" ref="AC15:AC21" si="18">$F15/O15</f>
        <v>101.93105867358096</v>
      </c>
    </row>
    <row r="16" spans="1:29" ht="15.75">
      <c r="A16">
        <v>2</v>
      </c>
      <c r="B16" s="92" t="s">
        <v>13</v>
      </c>
      <c r="C16" s="74" t="str">
        <f t="shared" si="0"/>
        <v>Intuit</v>
      </c>
      <c r="D16" s="82">
        <f t="shared" si="1"/>
        <v>654.32000000000005</v>
      </c>
      <c r="E16" s="82">
        <f t="shared" si="2"/>
        <v>280.29199999999997</v>
      </c>
      <c r="F16" s="82">
        <f t="shared" ref="F16:F21" si="19">_xlfn.XLOOKUP(B16,$C$59:$C$71,F$59:F$71)</f>
        <v>183400.66144</v>
      </c>
      <c r="G16" s="82">
        <f t="shared" si="3"/>
        <v>186489.66144</v>
      </c>
      <c r="I16" s="82">
        <f t="shared" si="4"/>
        <v>12726</v>
      </c>
      <c r="J16" s="82">
        <f t="shared" si="4"/>
        <v>14368</v>
      </c>
      <c r="K16" s="82">
        <f t="shared" si="4"/>
        <v>16285</v>
      </c>
      <c r="L16" s="82">
        <f t="shared" si="5"/>
        <v>3934</v>
      </c>
      <c r="M16" s="82">
        <f t="shared" si="5"/>
        <v>4148</v>
      </c>
      <c r="N16" s="82">
        <f t="shared" si="6"/>
        <v>2384</v>
      </c>
      <c r="O16" s="82">
        <f t="shared" si="6"/>
        <v>2963</v>
      </c>
      <c r="Q16" s="113">
        <f t="shared" si="8"/>
        <v>0.12902718843312902</v>
      </c>
      <c r="R16" s="113">
        <f t="shared" si="9"/>
        <v>0.13342149220489977</v>
      </c>
      <c r="S16" s="113">
        <f t="shared" si="10"/>
        <v>0.27380289532293989</v>
      </c>
      <c r="T16" s="113">
        <f t="shared" si="11"/>
        <v>0.25471292600552659</v>
      </c>
      <c r="U16" s="113">
        <f t="shared" si="12"/>
        <v>0.16592427616926503</v>
      </c>
      <c r="V16" s="113">
        <f t="shared" si="13"/>
        <v>0.18194657660423702</v>
      </c>
      <c r="X16" s="111">
        <f t="shared" si="14"/>
        <v>12.97951429844098</v>
      </c>
      <c r="Y16" s="111">
        <f t="shared" si="15"/>
        <v>11.451621826220448</v>
      </c>
      <c r="Z16" s="111">
        <f t="shared" si="16"/>
        <v>47.404591113370614</v>
      </c>
      <c r="AA16" s="111">
        <f t="shared" si="17"/>
        <v>44.958934773384762</v>
      </c>
      <c r="AB16" s="111">
        <f t="shared" ref="AB15:AB21" si="20">$F16/N16</f>
        <v>76.929807651006712</v>
      </c>
      <c r="AC16" s="111">
        <f t="shared" si="18"/>
        <v>61.896949524130946</v>
      </c>
    </row>
    <row r="17" spans="1:29" ht="15.75">
      <c r="A17">
        <v>3</v>
      </c>
      <c r="B17" s="92" t="s">
        <v>23</v>
      </c>
      <c r="C17" s="74" t="str">
        <f t="shared" si="0"/>
        <v>Snowflake inc</v>
      </c>
      <c r="D17" s="82">
        <f t="shared" si="1"/>
        <v>271.26</v>
      </c>
      <c r="E17" s="82">
        <f t="shared" si="2"/>
        <v>334.1</v>
      </c>
      <c r="F17" s="82">
        <f t="shared" si="19"/>
        <v>90627.966</v>
      </c>
      <c r="G17" s="82">
        <f t="shared" si="3"/>
        <v>88875.502999999997</v>
      </c>
      <c r="I17" s="82">
        <f t="shared" si="4"/>
        <v>1219</v>
      </c>
      <c r="J17" s="82">
        <f t="shared" si="4"/>
        <v>2066</v>
      </c>
      <c r="K17" s="82">
        <f t="shared" si="4"/>
        <v>2806</v>
      </c>
      <c r="L17" s="82">
        <f t="shared" si="5"/>
        <v>-778.73199999999986</v>
      </c>
      <c r="M17" s="82">
        <f t="shared" si="5"/>
        <v>-974.86999999999978</v>
      </c>
      <c r="N17" s="82">
        <f t="shared" si="6"/>
        <v>-798</v>
      </c>
      <c r="O17" s="82">
        <f t="shared" si="6"/>
        <v>-838</v>
      </c>
      <c r="Q17" s="113">
        <f t="shared" si="8"/>
        <v>0.69483182936833465</v>
      </c>
      <c r="R17" s="113">
        <f t="shared" si="9"/>
        <v>0.35818005808325265</v>
      </c>
      <c r="S17" s="114">
        <f t="shared" si="10"/>
        <v>-0.37692739593417224</v>
      </c>
      <c r="T17" s="114">
        <f t="shared" si="11"/>
        <v>-0.34742337847469701</v>
      </c>
      <c r="U17" s="114">
        <f t="shared" si="12"/>
        <v>-0.3862536302032914</v>
      </c>
      <c r="V17" s="114">
        <f t="shared" si="13"/>
        <v>-0.29864575908766927</v>
      </c>
      <c r="X17" s="111">
        <f t="shared" si="14"/>
        <v>43.01815246853824</v>
      </c>
      <c r="Y17" s="111">
        <f t="shared" si="15"/>
        <v>31.673379543834638</v>
      </c>
      <c r="Z17" s="111">
        <f t="shared" si="16"/>
        <v>-114.12848451071744</v>
      </c>
      <c r="AA17" s="111">
        <f t="shared" si="17"/>
        <v>-91.166517586960325</v>
      </c>
      <c r="AB17" s="111">
        <f t="shared" si="20"/>
        <v>-113.56887969924811</v>
      </c>
      <c r="AC17" s="111">
        <f t="shared" si="18"/>
        <v>-108.1479307875895</v>
      </c>
    </row>
    <row r="18" spans="1:29" ht="15.75">
      <c r="A18">
        <v>4</v>
      </c>
      <c r="B18" s="92" t="s">
        <v>5</v>
      </c>
      <c r="C18" s="74" t="str">
        <f t="shared" si="0"/>
        <v>Paypal</v>
      </c>
      <c r="D18" s="82">
        <f t="shared" si="1"/>
        <v>67.400000000000006</v>
      </c>
      <c r="E18" s="82">
        <f t="shared" si="2"/>
        <v>989.24245199999996</v>
      </c>
      <c r="F18" s="82">
        <f t="shared" si="19"/>
        <v>66674.9412648</v>
      </c>
      <c r="G18" s="82">
        <f t="shared" si="3"/>
        <v>68955.9412648</v>
      </c>
      <c r="I18" s="82">
        <f t="shared" si="4"/>
        <v>27518</v>
      </c>
      <c r="J18" s="82">
        <f t="shared" si="4"/>
        <v>29771</v>
      </c>
      <c r="K18" s="82">
        <f t="shared" si="4"/>
        <v>31797</v>
      </c>
      <c r="L18" s="82">
        <f t="shared" si="5"/>
        <v>6100</v>
      </c>
      <c r="M18" s="82">
        <f t="shared" si="5"/>
        <v>6357</v>
      </c>
      <c r="N18" s="82">
        <f t="shared" si="6"/>
        <v>4246</v>
      </c>
      <c r="O18" s="82">
        <f t="shared" si="6"/>
        <v>4147</v>
      </c>
      <c r="Q18" s="113">
        <f t="shared" si="8"/>
        <v>8.1873682680427357E-2</v>
      </c>
      <c r="R18" s="113">
        <f t="shared" si="9"/>
        <v>6.8052803063383835E-2</v>
      </c>
      <c r="S18" s="113">
        <f t="shared" si="10"/>
        <v>0.2048973833596453</v>
      </c>
      <c r="T18" s="113">
        <f t="shared" si="11"/>
        <v>0.19992452118124351</v>
      </c>
      <c r="U18" s="113">
        <f t="shared" si="12"/>
        <v>0.14262201471230393</v>
      </c>
      <c r="V18" s="113">
        <f t="shared" si="13"/>
        <v>0.13042110890964556</v>
      </c>
      <c r="X18" s="111">
        <f t="shared" si="14"/>
        <v>2.3162117921735916</v>
      </c>
      <c r="Y18" s="111">
        <f t="shared" si="15"/>
        <v>2.1686304137119854</v>
      </c>
      <c r="Z18" s="111">
        <f t="shared" si="16"/>
        <v>11.304252666360656</v>
      </c>
      <c r="AA18" s="111">
        <f t="shared" si="17"/>
        <v>10.847245755041687</v>
      </c>
      <c r="AB18" s="111">
        <f t="shared" si="20"/>
        <v>15.703000768911917</v>
      </c>
      <c r="AC18" s="111">
        <f t="shared" si="18"/>
        <v>16.077873466312997</v>
      </c>
    </row>
    <row r="19" spans="1:29" ht="15.75">
      <c r="A19">
        <v>5</v>
      </c>
      <c r="B19" s="92" t="s">
        <v>9</v>
      </c>
      <c r="C19" s="74" t="str">
        <f t="shared" si="0"/>
        <v>Fiserv</v>
      </c>
      <c r="D19" s="82">
        <f t="shared" si="1"/>
        <v>64.260000000000005</v>
      </c>
      <c r="E19" s="82">
        <f t="shared" si="2"/>
        <v>561.28894400000001</v>
      </c>
      <c r="F19" s="82">
        <f t="shared" si="19"/>
        <v>36068.427541440004</v>
      </c>
      <c r="G19" s="82">
        <f t="shared" si="3"/>
        <v>59672.427541440004</v>
      </c>
      <c r="H19" s="82"/>
      <c r="I19" s="82">
        <f t="shared" si="4"/>
        <v>17737</v>
      </c>
      <c r="J19" s="82">
        <f t="shared" si="4"/>
        <v>19093</v>
      </c>
      <c r="K19" s="82">
        <f t="shared" si="4"/>
        <v>20456</v>
      </c>
      <c r="L19" s="82">
        <f t="shared" si="5"/>
        <v>8176</v>
      </c>
      <c r="M19" s="82">
        <f t="shared" si="5"/>
        <v>9048</v>
      </c>
      <c r="N19" s="82">
        <f t="shared" si="6"/>
        <v>3129</v>
      </c>
      <c r="O19" s="82">
        <f t="shared" si="6"/>
        <v>3211</v>
      </c>
      <c r="Q19" s="113">
        <f t="shared" si="8"/>
        <v>7.6450358008682412E-2</v>
      </c>
      <c r="R19" s="113">
        <f t="shared" si="9"/>
        <v>7.1387419473105326E-2</v>
      </c>
      <c r="S19" s="113">
        <f t="shared" si="10"/>
        <v>0.42821976640653642</v>
      </c>
      <c r="T19" s="113">
        <f t="shared" si="11"/>
        <v>0.4423152131403989</v>
      </c>
      <c r="U19" s="113">
        <f t="shared" si="12"/>
        <v>0.16388205101346043</v>
      </c>
      <c r="V19" s="113">
        <f t="shared" si="13"/>
        <v>0.15697105983574502</v>
      </c>
      <c r="W19" s="74"/>
      <c r="X19" s="111">
        <f t="shared" si="14"/>
        <v>3.125356284577594</v>
      </c>
      <c r="Y19" s="111">
        <f t="shared" si="15"/>
        <v>2.9171112407821669</v>
      </c>
      <c r="Z19" s="111">
        <f t="shared" si="16"/>
        <v>7.298486734520548</v>
      </c>
      <c r="AA19" s="111">
        <f t="shared" si="17"/>
        <v>6.595095882122016</v>
      </c>
      <c r="AB19" s="111">
        <f t="shared" si="20"/>
        <v>11.527142071409397</v>
      </c>
      <c r="AC19" s="111">
        <f t="shared" si="18"/>
        <v>11.232770956536905</v>
      </c>
    </row>
    <row r="20" spans="1:29" ht="15.75">
      <c r="A20">
        <v>6</v>
      </c>
      <c r="B20" s="92" t="s">
        <v>19</v>
      </c>
      <c r="C20" s="74" t="str">
        <f t="shared" si="0"/>
        <v>Sofi</v>
      </c>
      <c r="D20" s="82">
        <f t="shared" si="1"/>
        <v>30.95</v>
      </c>
      <c r="E20" s="82">
        <f t="shared" si="2"/>
        <v>1096.540215</v>
      </c>
      <c r="F20" s="82">
        <f t="shared" si="19"/>
        <v>33937.919654249999</v>
      </c>
      <c r="G20" s="82">
        <f t="shared" si="3"/>
        <v>35100.919654249999</v>
      </c>
      <c r="H20" s="82"/>
      <c r="I20" s="82">
        <f t="shared" si="4"/>
        <v>1574</v>
      </c>
      <c r="J20" s="82">
        <f t="shared" si="4"/>
        <v>2124</v>
      </c>
      <c r="K20" s="82">
        <f t="shared" si="4"/>
        <v>2677</v>
      </c>
      <c r="L20" s="82">
        <f t="shared" si="5"/>
        <v>-298.45399999999972</v>
      </c>
      <c r="M20" s="82">
        <f t="shared" si="5"/>
        <v>235.5619999999999</v>
      </c>
      <c r="N20" s="82">
        <f t="shared" si="6"/>
        <v>-535.03799999999967</v>
      </c>
      <c r="O20" s="82">
        <f t="shared" si="6"/>
        <v>249.5619999999999</v>
      </c>
      <c r="Q20" s="113">
        <f t="shared" si="8"/>
        <v>0.34942820838627703</v>
      </c>
      <c r="R20" s="113">
        <f t="shared" si="9"/>
        <v>0.2603578154425612</v>
      </c>
      <c r="S20" s="114">
        <f t="shared" si="10"/>
        <v>-0.14051506591337087</v>
      </c>
      <c r="T20" s="113">
        <f t="shared" si="11"/>
        <v>8.7994770265222219E-2</v>
      </c>
      <c r="U20" s="114">
        <f t="shared" si="12"/>
        <v>-0.25190112994350267</v>
      </c>
      <c r="V20" s="113">
        <f t="shared" si="13"/>
        <v>9.3224505042958497E-2</v>
      </c>
      <c r="W20" s="74"/>
      <c r="X20" s="111">
        <f t="shared" si="14"/>
        <v>16.52585671104049</v>
      </c>
      <c r="Y20" s="111">
        <f t="shared" si="15"/>
        <v>13.112035731882704</v>
      </c>
      <c r="Z20" s="111">
        <f t="shared" si="16"/>
        <v>-117.60914463954255</v>
      </c>
      <c r="AA20" s="111">
        <f t="shared" si="17"/>
        <v>149.00926148636034</v>
      </c>
      <c r="AB20" s="111">
        <f t="shared" si="20"/>
        <v>-63.430858470332986</v>
      </c>
      <c r="AC20" s="111">
        <f t="shared" si="18"/>
        <v>135.98993297958029</v>
      </c>
    </row>
    <row r="21" spans="1:29" ht="15.75">
      <c r="A21">
        <v>7</v>
      </c>
      <c r="B21" s="92" t="s">
        <v>17</v>
      </c>
      <c r="C21" s="74" t="str">
        <f t="shared" si="0"/>
        <v>Affirm</v>
      </c>
      <c r="D21" s="82">
        <f t="shared" si="1"/>
        <v>75.14</v>
      </c>
      <c r="E21" s="82">
        <f t="shared" si="2"/>
        <v>325.65031399999998</v>
      </c>
      <c r="F21" s="82">
        <f t="shared" si="19"/>
        <v>24469.364593959999</v>
      </c>
      <c r="G21" s="82">
        <f t="shared" si="3"/>
        <v>29530.576593959999</v>
      </c>
      <c r="I21" s="82">
        <f t="shared" si="4"/>
        <v>1349.1</v>
      </c>
      <c r="J21" s="82">
        <f t="shared" si="4"/>
        <v>1587</v>
      </c>
      <c r="K21" s="82">
        <f t="shared" si="4"/>
        <v>2322</v>
      </c>
      <c r="L21" s="82">
        <f t="shared" si="5"/>
        <v>515.75199999999995</v>
      </c>
      <c r="M21" s="82">
        <f t="shared" si="5"/>
        <v>1034</v>
      </c>
      <c r="N21" s="82">
        <f t="shared" si="6"/>
        <v>-985</v>
      </c>
      <c r="O21" s="82">
        <f t="shared" si="6"/>
        <v>-518</v>
      </c>
      <c r="Q21" s="113">
        <f t="shared" si="8"/>
        <v>0.17633978207694026</v>
      </c>
      <c r="R21" s="113">
        <f t="shared" si="9"/>
        <v>0.46313799621928164</v>
      </c>
      <c r="S21" s="113">
        <f t="shared" si="10"/>
        <v>0.32498550724637676</v>
      </c>
      <c r="T21" s="113">
        <f t="shared" si="11"/>
        <v>0.44530577088716622</v>
      </c>
      <c r="U21" s="114">
        <f t="shared" si="12"/>
        <v>-0.62066792690611217</v>
      </c>
      <c r="V21" s="114">
        <f t="shared" si="13"/>
        <v>-0.22308354866494401</v>
      </c>
      <c r="X21" s="111">
        <f t="shared" si="14"/>
        <v>18.607798735954631</v>
      </c>
      <c r="Y21" s="111">
        <f t="shared" si="15"/>
        <v>12.717733244599483</v>
      </c>
      <c r="Z21" s="111">
        <f t="shared" si="16"/>
        <v>57.25731862205091</v>
      </c>
      <c r="AA21" s="111">
        <f t="shared" si="17"/>
        <v>28.559551831682786</v>
      </c>
      <c r="AB21" s="111">
        <f t="shared" si="20"/>
        <v>-24.841994511634518</v>
      </c>
      <c r="AC21" s="111">
        <f t="shared" si="18"/>
        <v>-47.238155586795365</v>
      </c>
    </row>
    <row r="22" spans="1:29" ht="15.75">
      <c r="B22" s="92"/>
      <c r="C22" s="74"/>
      <c r="D22" s="82"/>
      <c r="E22" s="82"/>
      <c r="F22" s="82"/>
      <c r="G22" s="82"/>
      <c r="H22" s="82" t="s">
        <v>155</v>
      </c>
      <c r="I22" s="82"/>
      <c r="J22" s="82"/>
      <c r="K22" s="82"/>
      <c r="L22" s="82"/>
      <c r="M22" s="82"/>
      <c r="N22" s="82"/>
      <c r="O22" s="82"/>
      <c r="Q22" s="87"/>
      <c r="R22" s="87"/>
      <c r="S22" s="88"/>
      <c r="T22" s="88"/>
      <c r="U22" s="88"/>
      <c r="V22" s="74"/>
      <c r="W22" s="74"/>
      <c r="X22" s="74"/>
    </row>
    <row r="23" spans="1:29" ht="15.75">
      <c r="B23" s="143" t="s">
        <v>370</v>
      </c>
      <c r="C23" s="144"/>
      <c r="D23" s="145"/>
      <c r="E23" s="145"/>
      <c r="F23" s="145"/>
      <c r="G23" s="145"/>
      <c r="H23" s="145"/>
      <c r="I23" s="145"/>
      <c r="J23" s="145"/>
      <c r="K23" s="145"/>
      <c r="L23" s="145"/>
      <c r="M23" s="145"/>
      <c r="N23" s="145"/>
      <c r="O23" s="145"/>
      <c r="P23" s="146"/>
      <c r="Q23" s="147">
        <f>AVERAGE(Q15:Q21)</f>
        <v>0.2526664763811538</v>
      </c>
      <c r="R23" s="147">
        <f t="shared" ref="R23:V23" si="21">AVERAGE(R15:R21)</f>
        <v>0.230332564679777</v>
      </c>
      <c r="S23" s="147">
        <f t="shared" si="21"/>
        <v>7.47897494707601E-2</v>
      </c>
      <c r="T23" s="147">
        <f t="shared" si="21"/>
        <v>0.17256320508821044</v>
      </c>
      <c r="U23" s="147">
        <f t="shared" si="21"/>
        <v>-0.10967106590074081</v>
      </c>
      <c r="V23" s="147">
        <f t="shared" si="21"/>
        <v>3.831411535783396E-2</v>
      </c>
      <c r="W23" s="144"/>
      <c r="X23" s="144">
        <f>AVERAGE(X15:X21)</f>
        <v>17.948672863506317</v>
      </c>
      <c r="Y23" s="144">
        <f t="shared" ref="Y23:AC23" si="22">AVERAGE(Y15:Y21)</f>
        <v>13.878676866652492</v>
      </c>
      <c r="Z23" s="144">
        <f t="shared" si="22"/>
        <v>-37.24463591784383</v>
      </c>
      <c r="AA23" s="144">
        <f t="shared" si="22"/>
        <v>47.645567199602972</v>
      </c>
      <c r="AB23" s="144">
        <f t="shared" si="22"/>
        <v>208.77144178884717</v>
      </c>
      <c r="AC23" s="148">
        <f t="shared" si="22"/>
        <v>24.534642746536747</v>
      </c>
    </row>
    <row r="24" spans="1:29" ht="15.75">
      <c r="B24" s="149" t="s">
        <v>371</v>
      </c>
      <c r="C24" s="150"/>
      <c r="D24" s="151"/>
      <c r="E24" s="151"/>
      <c r="F24" s="151"/>
      <c r="G24" s="151"/>
      <c r="H24" s="151"/>
      <c r="I24" s="151"/>
      <c r="J24" s="151"/>
      <c r="K24" s="151"/>
      <c r="L24" s="151"/>
      <c r="M24" s="151"/>
      <c r="N24" s="151"/>
      <c r="O24" s="151"/>
      <c r="P24" s="152"/>
      <c r="Q24" s="153">
        <f>MEDIAN(Q15:Q21)</f>
        <v>0.17633978207694026</v>
      </c>
      <c r="R24" s="153">
        <f t="shared" ref="R24:V24" si="23">MEDIAN(R15:R21)</f>
        <v>0.25779036827195467</v>
      </c>
      <c r="S24" s="153">
        <f t="shared" si="23"/>
        <v>0.2048973833596453</v>
      </c>
      <c r="T24" s="153">
        <f t="shared" si="23"/>
        <v>0.19992452118124351</v>
      </c>
      <c r="U24" s="153">
        <f t="shared" si="23"/>
        <v>1.8696883852691217E-2</v>
      </c>
      <c r="V24" s="153">
        <f t="shared" si="23"/>
        <v>0.13042110890964556</v>
      </c>
      <c r="W24" s="150"/>
      <c r="X24" s="150">
        <f>MEDIAN(X15:X21)</f>
        <v>16.52585671104049</v>
      </c>
      <c r="Y24" s="150">
        <f t="shared" ref="Y24:AC24" si="24">MEDIAN(Y15:Y21)</f>
        <v>12.717733244599483</v>
      </c>
      <c r="Z24" s="150">
        <f t="shared" si="24"/>
        <v>7.298486734520548</v>
      </c>
      <c r="AA24" s="150">
        <f t="shared" si="24"/>
        <v>28.559551831682786</v>
      </c>
      <c r="AB24" s="150">
        <f t="shared" si="24"/>
        <v>11.527142071409397</v>
      </c>
      <c r="AC24" s="154">
        <f t="shared" si="24"/>
        <v>16.077873466312997</v>
      </c>
    </row>
    <row r="25" spans="1:29" ht="15.75">
      <c r="B25" s="92"/>
      <c r="C25" s="74"/>
      <c r="D25" s="82"/>
      <c r="E25" s="82"/>
      <c r="F25" s="82"/>
      <c r="G25" s="82"/>
      <c r="H25" s="82"/>
      <c r="I25" s="82"/>
      <c r="J25" s="82"/>
      <c r="K25" s="82"/>
      <c r="L25" s="82"/>
      <c r="M25" s="82"/>
      <c r="N25" s="82"/>
      <c r="O25" s="82"/>
      <c r="Q25" s="87"/>
      <c r="R25" s="87"/>
      <c r="S25" s="88"/>
      <c r="T25" s="88"/>
      <c r="U25" s="88"/>
      <c r="V25" s="74"/>
      <c r="W25" s="74"/>
      <c r="X25" s="74"/>
    </row>
    <row r="26" spans="1:29" ht="15.75">
      <c r="B26" s="130"/>
      <c r="C26" s="99"/>
      <c r="D26" s="131"/>
      <c r="E26" s="135" t="s">
        <v>378</v>
      </c>
      <c r="F26" s="135"/>
      <c r="G26" s="135"/>
      <c r="H26" s="131"/>
      <c r="I26" s="135" t="s">
        <v>379</v>
      </c>
      <c r="J26" s="135"/>
      <c r="K26" s="135"/>
      <c r="L26" s="131"/>
      <c r="M26" s="135" t="s">
        <v>309</v>
      </c>
      <c r="N26" s="135"/>
      <c r="O26" s="135"/>
      <c r="P26" s="101"/>
      <c r="Q26" s="132"/>
      <c r="R26" s="132"/>
      <c r="S26" s="133"/>
      <c r="T26" s="133"/>
      <c r="U26" s="136" t="s">
        <v>311</v>
      </c>
      <c r="V26" s="136"/>
      <c r="W26" s="136"/>
      <c r="X26" s="137" t="s">
        <v>380</v>
      </c>
      <c r="Y26" s="137"/>
      <c r="Z26" s="137"/>
      <c r="AA26" s="137"/>
    </row>
    <row r="27" spans="1:29" ht="31.5">
      <c r="B27" s="101" t="s">
        <v>372</v>
      </c>
      <c r="C27" s="99"/>
      <c r="D27" s="131"/>
      <c r="E27" s="138" t="s">
        <v>24</v>
      </c>
      <c r="F27" s="138" t="s">
        <v>141</v>
      </c>
      <c r="G27" s="138" t="s">
        <v>353</v>
      </c>
      <c r="H27" s="99"/>
      <c r="I27" s="138" t="s">
        <v>24</v>
      </c>
      <c r="J27" s="138" t="s">
        <v>141</v>
      </c>
      <c r="K27" s="141" t="s">
        <v>42</v>
      </c>
      <c r="L27" s="100"/>
      <c r="M27" s="138" t="s">
        <v>24</v>
      </c>
      <c r="N27" s="138" t="s">
        <v>141</v>
      </c>
      <c r="O27" s="141" t="s">
        <v>100</v>
      </c>
      <c r="P27" s="100"/>
      <c r="Q27" s="142" t="s">
        <v>57</v>
      </c>
      <c r="R27" s="142" t="s">
        <v>58</v>
      </c>
      <c r="S27" s="142" t="s">
        <v>41</v>
      </c>
      <c r="T27" s="134"/>
      <c r="U27" s="139" t="s">
        <v>24</v>
      </c>
      <c r="V27" s="139" t="s">
        <v>141</v>
      </c>
      <c r="W27" s="140" t="s">
        <v>100</v>
      </c>
      <c r="X27" s="134"/>
      <c r="Y27" s="139" t="s">
        <v>375</v>
      </c>
      <c r="Z27" s="139" t="s">
        <v>376</v>
      </c>
      <c r="AA27" s="140" t="s">
        <v>100</v>
      </c>
    </row>
    <row r="28" spans="1:29" ht="15.75">
      <c r="B28" t="s">
        <v>373</v>
      </c>
      <c r="C28" s="74"/>
      <c r="D28" s="88"/>
      <c r="E28" s="129">
        <f>MIN(Y15:Y21)</f>
        <v>2.1686304137119854</v>
      </c>
      <c r="F28" s="129">
        <f>MIN(AA15:AA21)</f>
        <v>-91.166517586960325</v>
      </c>
      <c r="G28" s="129">
        <f>MIN(AC15:AC21)</f>
        <v>-108.1479307875895</v>
      </c>
      <c r="H28" s="88"/>
      <c r="I28" s="82">
        <f>$K$14</f>
        <v>24121.053</v>
      </c>
      <c r="J28" s="82">
        <f>$M$14</f>
        <v>1115.4000000000001</v>
      </c>
      <c r="K28" s="88">
        <f>$O$14/$E$14</f>
        <v>4.6272631884806605</v>
      </c>
      <c r="L28" s="88"/>
      <c r="M28" s="82">
        <f>$I28*E28</f>
        <v>52309.649146558724</v>
      </c>
      <c r="N28" s="82">
        <f>$J28*F28</f>
        <v>-101687.13371649555</v>
      </c>
      <c r="O28" s="82" t="s">
        <v>115</v>
      </c>
      <c r="P28" s="59"/>
      <c r="Q28" s="82">
        <f>_xlfn.XLOOKUP($B$14,$C$59:$C$71,$G$59:$G$71)</f>
        <v>6384</v>
      </c>
      <c r="R28" s="82">
        <f>_xlfn.XLOOKUP($B$14,$C$59:$C$71,$H$59:$H$71)</f>
        <v>5110.866</v>
      </c>
      <c r="S28" s="82">
        <f>_xlfn.XLOOKUP($B$14,$C$59:$C$71,$E$59:$E$71)</f>
        <v>619.48</v>
      </c>
      <c r="T28" s="88"/>
      <c r="U28" s="82">
        <f>$M28+$Q28-$R28</f>
        <v>53582.783146558722</v>
      </c>
      <c r="V28" s="82">
        <f>$N28+$Q28-$R28</f>
        <v>-100413.99971649554</v>
      </c>
      <c r="W28" s="82">
        <f>S28*K28*G28</f>
        <v>-310005.71915883292</v>
      </c>
      <c r="X28" s="88"/>
      <c r="Y28" s="30">
        <f>U28/$S28</f>
        <v>86.496389143408535</v>
      </c>
      <c r="Z28" s="30">
        <f>V28/$S28</f>
        <v>-162.09401387695411</v>
      </c>
      <c r="AA28" s="30">
        <f>W28/S28</f>
        <v>-500.42893904376723</v>
      </c>
    </row>
    <row r="29" spans="1:29" ht="15.75">
      <c r="B29" t="s">
        <v>370</v>
      </c>
      <c r="C29" s="74"/>
      <c r="D29" s="88"/>
      <c r="E29" s="129">
        <f>Y23</f>
        <v>13.878676866652492</v>
      </c>
      <c r="F29" s="129">
        <f>AA23</f>
        <v>47.645567199602972</v>
      </c>
      <c r="G29" s="129">
        <f>AC23</f>
        <v>24.534642746536747</v>
      </c>
      <c r="H29" s="88"/>
      <c r="I29" s="82">
        <f t="shared" ref="I29:I31" si="25">$K$14</f>
        <v>24121.053</v>
      </c>
      <c r="J29" s="82">
        <f t="shared" ref="J29:J31" si="26">$M$14</f>
        <v>1115.4000000000001</v>
      </c>
      <c r="K29" s="88">
        <f t="shared" ref="K29:K31" si="27">$O$14/$E$14</f>
        <v>4.6272631884806605</v>
      </c>
      <c r="L29" s="88"/>
      <c r="M29" s="82">
        <f t="shared" ref="M29:M31" si="28">$I29*E29</f>
        <v>334768.30027039873</v>
      </c>
      <c r="N29" s="82">
        <f t="shared" ref="N29:N31" si="29">$J29*F29</f>
        <v>53143.865654437162</v>
      </c>
      <c r="O29" s="82" t="s">
        <v>115</v>
      </c>
      <c r="P29" s="59"/>
      <c r="Q29" s="82">
        <f t="shared" ref="Q29:Q31" si="30">_xlfn.XLOOKUP($B$14,$C$59:$C$71,$G$59:$G$71)</f>
        <v>6384</v>
      </c>
      <c r="R29" s="82">
        <f t="shared" ref="R29:R31" si="31">_xlfn.XLOOKUP($B$14,$C$59:$C$71,$H$59:$H$71)</f>
        <v>5110.866</v>
      </c>
      <c r="S29" s="82">
        <f t="shared" ref="S29:S31" si="32">_xlfn.XLOOKUP($B$14,$C$59:$C$71,$E$59:$E$71)</f>
        <v>619.48</v>
      </c>
      <c r="T29" s="88"/>
      <c r="U29" s="82">
        <f t="shared" ref="U29:U31" si="33">$M29+$Q29-$R29</f>
        <v>336041.43427039875</v>
      </c>
      <c r="V29" s="82">
        <f t="shared" ref="V29:V31" si="34">$N29+$Q29-$R29</f>
        <v>54416.999654437161</v>
      </c>
      <c r="W29" s="82">
        <f t="shared" ref="W29:W31" si="35">S29*K29*G29</f>
        <v>70328.479829019343</v>
      </c>
      <c r="X29" s="88"/>
      <c r="Y29" s="30">
        <f t="shared" ref="Y29:Y30" si="36">U29/$S29</f>
        <v>542.45727750758499</v>
      </c>
      <c r="Z29" s="30">
        <f t="shared" ref="Z29:Z31" si="37">V29/$S29</f>
        <v>87.84302907993343</v>
      </c>
      <c r="AA29" s="30">
        <f t="shared" ref="AA29:AA31" si="38">W29/S29</f>
        <v>113.52824922357355</v>
      </c>
    </row>
    <row r="30" spans="1:29" ht="15.75">
      <c r="B30" t="s">
        <v>371</v>
      </c>
      <c r="C30" s="74"/>
      <c r="D30" s="88"/>
      <c r="E30" s="129">
        <f>Y24</f>
        <v>12.717733244599483</v>
      </c>
      <c r="F30" s="129">
        <f>AA24</f>
        <v>28.559551831682786</v>
      </c>
      <c r="G30" s="129">
        <f>AC24</f>
        <v>16.077873466312997</v>
      </c>
      <c r="H30" s="88"/>
      <c r="I30" s="82">
        <f t="shared" si="25"/>
        <v>24121.053</v>
      </c>
      <c r="J30" s="82">
        <f t="shared" si="26"/>
        <v>1115.4000000000001</v>
      </c>
      <c r="K30" s="88">
        <f t="shared" si="27"/>
        <v>4.6272631884806605</v>
      </c>
      <c r="L30" s="88"/>
      <c r="M30" s="82">
        <f t="shared" si="28"/>
        <v>306765.11763284612</v>
      </c>
      <c r="N30" s="82">
        <f t="shared" si="29"/>
        <v>31855.324113058981</v>
      </c>
      <c r="O30" s="82" t="s">
        <v>115</v>
      </c>
      <c r="P30" s="59"/>
      <c r="Q30" s="82">
        <f t="shared" si="30"/>
        <v>6384</v>
      </c>
      <c r="R30" s="82">
        <f t="shared" si="31"/>
        <v>5110.866</v>
      </c>
      <c r="S30" s="82">
        <f t="shared" si="32"/>
        <v>619.48</v>
      </c>
      <c r="T30" s="88"/>
      <c r="U30" s="82">
        <f t="shared" si="33"/>
        <v>308038.25163284614</v>
      </c>
      <c r="V30" s="82">
        <f t="shared" si="34"/>
        <v>33128.45811305898</v>
      </c>
      <c r="W30" s="82">
        <f t="shared" si="35"/>
        <v>46087.176057565805</v>
      </c>
      <c r="X30" s="88"/>
      <c r="Y30" s="30">
        <f t="shared" si="36"/>
        <v>497.25294058378984</v>
      </c>
      <c r="Z30" s="30">
        <f t="shared" si="37"/>
        <v>53.477849346321072</v>
      </c>
      <c r="AA30" s="30">
        <f t="shared" si="38"/>
        <v>74.396552039720092</v>
      </c>
    </row>
    <row r="31" spans="1:29" ht="15.75">
      <c r="B31" t="s">
        <v>374</v>
      </c>
      <c r="C31" s="74"/>
      <c r="D31" s="88"/>
      <c r="E31" s="129">
        <f>MAX(Y15:Y21)</f>
        <v>31.673379543834638</v>
      </c>
      <c r="F31" s="129">
        <f>MAX(AA15:AA21)</f>
        <v>184.71539825558955</v>
      </c>
      <c r="G31" s="129">
        <f>MAX(AC15:AC21)</f>
        <v>135.98993297958029</v>
      </c>
      <c r="H31" s="88"/>
      <c r="I31" s="82">
        <f t="shared" si="25"/>
        <v>24121.053</v>
      </c>
      <c r="J31" s="82">
        <f t="shared" si="26"/>
        <v>1115.4000000000001</v>
      </c>
      <c r="K31" s="88">
        <f t="shared" si="27"/>
        <v>4.6272631884806605</v>
      </c>
      <c r="L31" s="88"/>
      <c r="M31" s="82">
        <f t="shared" si="28"/>
        <v>763995.26666595112</v>
      </c>
      <c r="N31" s="82">
        <f t="shared" si="29"/>
        <v>206031.5552142846</v>
      </c>
      <c r="O31" s="82" t="s">
        <v>115</v>
      </c>
      <c r="P31" s="59"/>
      <c r="Q31" s="82">
        <f t="shared" si="30"/>
        <v>6384</v>
      </c>
      <c r="R31" s="82">
        <f t="shared" si="31"/>
        <v>5110.866</v>
      </c>
      <c r="S31" s="82">
        <f t="shared" si="32"/>
        <v>619.48</v>
      </c>
      <c r="T31" s="88"/>
      <c r="U31" s="82">
        <f t="shared" si="33"/>
        <v>765268.40066595108</v>
      </c>
      <c r="V31" s="82">
        <f t="shared" si="34"/>
        <v>207304.68921428459</v>
      </c>
      <c r="W31" s="82">
        <f t="shared" si="35"/>
        <v>389814.73491616792</v>
      </c>
      <c r="X31" s="88"/>
      <c r="Y31" s="30">
        <f>U31/$S31</f>
        <v>1235.3399636242511</v>
      </c>
      <c r="Z31" s="30">
        <f t="shared" si="37"/>
        <v>334.64307034009909</v>
      </c>
      <c r="AA31" s="30">
        <f t="shared" si="38"/>
        <v>629.26121088036405</v>
      </c>
    </row>
    <row r="32" spans="1:29" ht="15.75">
      <c r="B32" s="92"/>
      <c r="C32" s="74"/>
      <c r="D32" s="82"/>
      <c r="E32" s="82"/>
      <c r="F32" s="82"/>
      <c r="G32" s="82"/>
      <c r="H32" s="82"/>
      <c r="I32" s="82"/>
      <c r="J32" s="82"/>
      <c r="K32" s="82"/>
      <c r="L32" s="82"/>
      <c r="M32" s="82"/>
      <c r="N32" s="82"/>
      <c r="O32" s="82"/>
      <c r="Q32" s="87"/>
      <c r="R32" s="87"/>
      <c r="S32" s="88"/>
      <c r="T32" s="88"/>
      <c r="U32" s="88"/>
      <c r="V32" s="74"/>
      <c r="W32" s="74"/>
      <c r="X32" s="74"/>
    </row>
    <row r="33" spans="2:24" ht="15.75">
      <c r="B33" s="92"/>
      <c r="C33" s="74"/>
      <c r="D33" s="82"/>
      <c r="E33" s="82"/>
      <c r="F33" s="82"/>
      <c r="G33" s="82"/>
      <c r="H33" s="82"/>
      <c r="I33" s="82"/>
      <c r="J33" s="82"/>
      <c r="K33" s="82"/>
      <c r="L33" s="82"/>
      <c r="M33" s="82"/>
      <c r="N33" s="82"/>
      <c r="O33" s="82"/>
      <c r="Q33" s="87"/>
      <c r="R33" s="87"/>
      <c r="S33" s="88"/>
      <c r="T33" s="88"/>
      <c r="U33" s="88"/>
      <c r="V33" s="74"/>
      <c r="W33" s="74"/>
      <c r="X33" s="74"/>
    </row>
    <row r="34" spans="2:24" ht="15.75">
      <c r="B34" s="92"/>
      <c r="C34" s="74"/>
      <c r="D34" s="82"/>
      <c r="E34" s="82"/>
      <c r="F34" s="82"/>
      <c r="G34" s="82"/>
      <c r="H34" s="82"/>
      <c r="I34" s="82"/>
      <c r="J34" s="82"/>
      <c r="K34" s="82"/>
      <c r="L34" s="82"/>
      <c r="M34" s="82"/>
      <c r="N34" s="82"/>
      <c r="O34" s="82"/>
      <c r="Q34" s="87"/>
      <c r="R34" s="87"/>
      <c r="S34" s="88"/>
      <c r="T34" s="88"/>
      <c r="U34" s="88"/>
      <c r="V34" s="74"/>
      <c r="W34" s="74"/>
      <c r="X34" s="74"/>
    </row>
    <row r="35" spans="2:24" ht="15.75">
      <c r="B35" s="92"/>
      <c r="C35" s="74"/>
      <c r="D35" s="82"/>
      <c r="E35" s="82"/>
      <c r="F35" s="82"/>
      <c r="G35" s="82"/>
      <c r="H35" s="82"/>
      <c r="I35" s="82"/>
      <c r="J35" s="82"/>
      <c r="K35" s="82"/>
      <c r="L35" s="82"/>
      <c r="M35" s="82"/>
      <c r="N35" s="82"/>
      <c r="O35" s="82"/>
      <c r="Q35" s="87"/>
      <c r="R35" s="87"/>
      <c r="S35" s="88"/>
      <c r="T35" s="88"/>
      <c r="U35" s="88"/>
      <c r="V35" s="74"/>
      <c r="W35" s="74"/>
      <c r="X35" s="74"/>
    </row>
    <row r="36" spans="2:24" ht="15.75">
      <c r="B36" s="92"/>
      <c r="C36" s="74"/>
      <c r="D36" s="82"/>
      <c r="E36" s="82"/>
      <c r="F36" s="82"/>
      <c r="G36" s="82"/>
      <c r="H36" s="82"/>
      <c r="I36" s="82"/>
      <c r="J36" s="82"/>
      <c r="K36" s="82"/>
      <c r="L36" s="82"/>
      <c r="M36" s="82"/>
      <c r="N36" s="82"/>
      <c r="O36" s="82"/>
      <c r="Q36" s="87"/>
      <c r="R36" s="87"/>
      <c r="S36" s="88"/>
      <c r="T36" s="88"/>
      <c r="U36" s="88"/>
      <c r="V36" s="74"/>
      <c r="W36" s="74"/>
      <c r="X36" s="74"/>
    </row>
    <row r="37" spans="2:24" ht="15.75">
      <c r="B37" s="92"/>
      <c r="C37" s="74"/>
      <c r="D37" s="82"/>
      <c r="E37" s="82"/>
      <c r="F37" s="82"/>
      <c r="G37" s="82"/>
      <c r="H37" s="82"/>
      <c r="I37" s="82"/>
      <c r="J37" s="82"/>
      <c r="K37" s="82"/>
      <c r="L37" s="82"/>
      <c r="M37" s="82"/>
      <c r="N37" s="82"/>
      <c r="O37" s="82"/>
      <c r="Q37" s="87"/>
      <c r="R37" s="87"/>
      <c r="S37" s="88"/>
      <c r="T37" s="88"/>
      <c r="U37" s="88"/>
      <c r="V37" s="74"/>
      <c r="W37" s="74"/>
      <c r="X37" s="74"/>
    </row>
    <row r="38" spans="2:24" ht="15.75">
      <c r="B38" s="92"/>
      <c r="C38" s="74"/>
      <c r="D38" s="82"/>
      <c r="E38" s="82"/>
      <c r="F38" s="82"/>
      <c r="G38" s="82"/>
      <c r="H38" s="82"/>
      <c r="I38" s="82"/>
      <c r="J38" s="82"/>
      <c r="K38" s="82"/>
      <c r="L38" s="82"/>
      <c r="M38" s="82"/>
      <c r="N38" s="82"/>
      <c r="O38" s="82"/>
      <c r="Q38" s="87"/>
      <c r="R38" s="87"/>
      <c r="S38" s="88"/>
      <c r="T38" s="88"/>
      <c r="U38" s="88"/>
      <c r="V38" s="74"/>
      <c r="W38" s="74"/>
      <c r="X38" s="74"/>
    </row>
    <row r="39" spans="2:24" ht="15.75">
      <c r="B39" s="92"/>
      <c r="C39" s="74"/>
      <c r="D39" s="82"/>
      <c r="E39" s="82"/>
      <c r="F39" s="82"/>
      <c r="G39" s="82"/>
      <c r="H39" s="82"/>
      <c r="I39" s="82"/>
      <c r="J39" s="82"/>
      <c r="K39" s="82"/>
      <c r="L39" s="82"/>
      <c r="M39" s="82"/>
      <c r="N39" s="82"/>
      <c r="O39" s="82"/>
      <c r="Q39" s="87"/>
      <c r="R39" s="87"/>
      <c r="S39" s="88"/>
      <c r="T39" s="88"/>
      <c r="U39" s="88"/>
      <c r="V39" s="74"/>
      <c r="W39" s="74"/>
      <c r="X39" s="74"/>
    </row>
    <row r="40" spans="2:24" ht="15.75">
      <c r="B40" s="92"/>
      <c r="C40" s="74"/>
      <c r="D40" s="82"/>
      <c r="E40" s="82"/>
      <c r="F40" s="82"/>
      <c r="G40" s="82"/>
      <c r="H40" s="82"/>
      <c r="I40" s="82"/>
      <c r="J40" s="82"/>
      <c r="K40" s="82"/>
      <c r="L40" s="82"/>
      <c r="M40" s="82"/>
      <c r="N40" s="82"/>
      <c r="O40" s="82"/>
      <c r="Q40" s="87"/>
      <c r="R40" s="87"/>
      <c r="S40" s="88"/>
      <c r="T40" s="88"/>
      <c r="U40" s="88"/>
      <c r="V40" s="74"/>
      <c r="W40" s="74"/>
      <c r="X40" s="74"/>
    </row>
    <row r="41" spans="2:24" ht="15.75">
      <c r="B41" s="92"/>
      <c r="C41" s="74"/>
      <c r="D41" s="82"/>
      <c r="E41" s="82"/>
      <c r="F41" s="82"/>
      <c r="G41" s="82"/>
      <c r="H41" s="82"/>
      <c r="I41" s="82"/>
      <c r="J41" s="82"/>
      <c r="K41" s="82"/>
      <c r="L41" s="82"/>
      <c r="M41" s="82"/>
      <c r="N41" s="82"/>
      <c r="O41" s="82"/>
      <c r="Q41" s="87"/>
      <c r="R41" s="87"/>
      <c r="S41" s="88"/>
      <c r="T41" s="88"/>
      <c r="U41" s="88"/>
      <c r="V41" s="74"/>
      <c r="W41" s="74"/>
      <c r="X41" s="74"/>
    </row>
    <row r="42" spans="2:24" ht="15.75">
      <c r="B42" s="92"/>
      <c r="C42" s="74"/>
      <c r="D42" s="82"/>
      <c r="E42" s="82"/>
      <c r="F42" s="82"/>
      <c r="G42" s="82"/>
      <c r="H42" s="82"/>
      <c r="I42" s="82"/>
      <c r="J42" s="82"/>
      <c r="K42" s="82"/>
      <c r="L42" s="82"/>
      <c r="M42" s="82"/>
      <c r="N42" s="82"/>
      <c r="O42" s="82"/>
      <c r="Q42" s="87"/>
      <c r="R42" s="87"/>
      <c r="S42" s="88"/>
      <c r="T42" s="88"/>
      <c r="U42" s="88"/>
      <c r="V42" s="74"/>
      <c r="W42" s="74"/>
      <c r="X42" s="74"/>
    </row>
    <row r="43" spans="2:24" ht="15.75">
      <c r="B43" s="92"/>
      <c r="C43" s="74"/>
      <c r="D43" s="82"/>
      <c r="E43" s="82"/>
      <c r="F43" s="82"/>
      <c r="G43" s="82"/>
      <c r="H43" s="82"/>
      <c r="I43" s="82"/>
      <c r="J43" s="82"/>
      <c r="K43" s="82"/>
      <c r="L43" s="82"/>
      <c r="M43" s="82"/>
      <c r="N43" s="82"/>
      <c r="O43" s="82"/>
      <c r="Q43" s="87"/>
      <c r="R43" s="87"/>
      <c r="S43" s="88"/>
      <c r="T43" s="88"/>
      <c r="U43" s="88"/>
      <c r="V43" s="74"/>
      <c r="W43" s="74"/>
      <c r="X43" s="74"/>
    </row>
    <row r="44" spans="2:24" ht="15.75">
      <c r="B44" s="92"/>
      <c r="C44" s="74"/>
      <c r="D44" s="82"/>
      <c r="E44" s="82"/>
      <c r="F44" s="82"/>
      <c r="G44" s="82"/>
      <c r="H44" s="82"/>
      <c r="I44" s="82"/>
      <c r="J44" s="82"/>
      <c r="K44" s="82"/>
      <c r="L44" s="82"/>
      <c r="M44" s="82"/>
      <c r="N44" s="82"/>
      <c r="O44" s="82"/>
      <c r="Q44" s="87"/>
      <c r="R44" s="87"/>
      <c r="S44" s="88"/>
      <c r="T44" s="88"/>
      <c r="U44" s="88"/>
      <c r="V44" s="74"/>
      <c r="W44" s="74"/>
      <c r="X44" s="74"/>
    </row>
    <row r="45" spans="2:24" ht="15.75">
      <c r="B45" s="92"/>
      <c r="C45" s="74"/>
      <c r="D45" s="82"/>
      <c r="E45" s="82"/>
      <c r="F45" s="82"/>
      <c r="G45" s="82"/>
      <c r="H45" s="82"/>
      <c r="I45" s="82"/>
      <c r="J45" s="82"/>
      <c r="K45" s="82"/>
      <c r="L45" s="82"/>
      <c r="M45" s="82"/>
      <c r="N45" s="82"/>
      <c r="O45" s="82"/>
      <c r="Q45" s="87"/>
      <c r="R45" s="87"/>
      <c r="S45" s="88"/>
      <c r="T45" s="88"/>
      <c r="U45" s="88"/>
      <c r="V45" s="74"/>
      <c r="W45" s="74"/>
      <c r="X45" s="74"/>
    </row>
    <row r="46" spans="2:24" ht="15.75">
      <c r="B46" s="92"/>
      <c r="C46" s="74"/>
      <c r="D46" s="82"/>
      <c r="E46" s="82"/>
      <c r="F46" s="82"/>
      <c r="G46" s="82"/>
      <c r="H46" s="82"/>
      <c r="I46" s="82"/>
      <c r="J46" s="82"/>
      <c r="K46" s="82"/>
      <c r="L46" s="82"/>
      <c r="M46" s="82"/>
      <c r="N46" s="82"/>
      <c r="O46" s="82"/>
      <c r="Q46" s="87"/>
      <c r="R46" s="87"/>
      <c r="S46" s="88"/>
      <c r="T46" s="88"/>
      <c r="U46" s="88"/>
      <c r="V46" s="74"/>
      <c r="W46" s="74"/>
      <c r="X46" s="74"/>
    </row>
    <row r="47" spans="2:24" ht="15.75">
      <c r="B47" s="92"/>
      <c r="C47" s="74"/>
      <c r="D47" s="82"/>
      <c r="E47" s="82"/>
      <c r="F47" s="82"/>
      <c r="G47" s="82"/>
      <c r="H47" s="82"/>
      <c r="I47" s="82"/>
      <c r="J47" s="82"/>
      <c r="K47" s="82"/>
      <c r="L47" s="82"/>
      <c r="M47" s="82"/>
      <c r="N47" s="82"/>
      <c r="O47" s="82"/>
      <c r="Q47" s="87"/>
      <c r="R47" s="87"/>
      <c r="S47" s="88"/>
      <c r="T47" s="88"/>
      <c r="U47" s="88"/>
      <c r="V47" s="74"/>
      <c r="W47" s="74"/>
      <c r="X47" s="74"/>
    </row>
    <row r="48" spans="2:24" ht="15.75">
      <c r="B48" s="92"/>
      <c r="C48" s="74"/>
      <c r="D48" s="82"/>
      <c r="E48" s="82"/>
      <c r="F48" s="82"/>
      <c r="G48" s="82"/>
      <c r="H48" s="82"/>
      <c r="I48" s="82"/>
      <c r="J48" s="82"/>
      <c r="K48" s="82"/>
      <c r="L48" s="82"/>
      <c r="M48" s="82"/>
      <c r="N48" s="82"/>
      <c r="O48" s="82"/>
      <c r="Q48" s="87"/>
      <c r="R48" s="87"/>
      <c r="S48" s="88"/>
      <c r="T48" s="88"/>
      <c r="U48" s="88"/>
      <c r="V48" s="74"/>
      <c r="W48" s="74"/>
      <c r="X48" s="74"/>
    </row>
    <row r="49" spans="2:24" ht="15.75">
      <c r="B49" s="92"/>
      <c r="C49" s="74"/>
      <c r="D49" s="82"/>
      <c r="E49" s="82"/>
      <c r="F49" s="82"/>
      <c r="G49" s="82"/>
      <c r="H49" s="82"/>
      <c r="I49" s="82"/>
      <c r="J49" s="82"/>
      <c r="K49" s="82"/>
      <c r="L49" s="82"/>
      <c r="M49" s="82"/>
      <c r="N49" s="82"/>
      <c r="O49" s="82"/>
      <c r="Q49" s="87"/>
      <c r="R49" s="87"/>
      <c r="S49" s="88"/>
      <c r="T49" s="88"/>
      <c r="U49" s="88"/>
      <c r="V49" s="74"/>
      <c r="W49" s="74"/>
      <c r="X49" s="74"/>
    </row>
    <row r="50" spans="2:24" ht="15.75">
      <c r="B50" s="74"/>
      <c r="C50" s="74"/>
      <c r="D50" s="74"/>
      <c r="E50" s="74"/>
      <c r="F50" s="74"/>
      <c r="G50" s="74"/>
      <c r="H50" s="74"/>
      <c r="I50" s="74"/>
      <c r="J50" s="74"/>
      <c r="K50" s="74"/>
      <c r="L50" s="74"/>
      <c r="M50" s="74"/>
      <c r="N50" s="74"/>
      <c r="O50" s="74"/>
      <c r="P50" s="74"/>
      <c r="Q50" s="74"/>
      <c r="R50" s="74"/>
      <c r="S50" s="74"/>
      <c r="T50" s="74"/>
      <c r="U50" s="74"/>
      <c r="V50" s="74"/>
      <c r="W50" s="74"/>
      <c r="X50" s="74"/>
    </row>
    <row r="51" spans="2:24" ht="15.75">
      <c r="B51" s="74"/>
      <c r="C51" s="74"/>
      <c r="D51" s="74"/>
      <c r="E51" s="74"/>
      <c r="F51" s="74"/>
      <c r="G51" s="74"/>
      <c r="H51" s="74"/>
      <c r="I51" s="74"/>
      <c r="J51" s="74"/>
      <c r="K51" s="74"/>
      <c r="L51" s="74"/>
      <c r="M51" s="74"/>
      <c r="N51" s="74"/>
      <c r="O51" s="74"/>
      <c r="P51" s="74"/>
      <c r="Q51" s="74"/>
      <c r="R51" s="74"/>
      <c r="S51" s="74"/>
      <c r="T51" s="74"/>
      <c r="U51" s="74"/>
      <c r="V51" s="74"/>
      <c r="W51" s="74"/>
      <c r="X51" s="74"/>
    </row>
    <row r="52" spans="2:24" ht="15.75">
      <c r="B52" s="74"/>
      <c r="C52" s="74"/>
      <c r="D52" s="74"/>
      <c r="E52" s="74"/>
      <c r="F52" s="74"/>
      <c r="G52" s="74"/>
      <c r="H52" s="74"/>
      <c r="I52" s="74"/>
      <c r="J52" s="74"/>
      <c r="K52" s="74"/>
      <c r="L52" s="74"/>
      <c r="M52" s="74"/>
      <c r="N52" s="74"/>
      <c r="O52" s="74"/>
      <c r="P52" s="74"/>
      <c r="Q52" s="74"/>
      <c r="R52" s="74"/>
      <c r="S52" s="74"/>
      <c r="T52" s="74"/>
      <c r="U52" s="74"/>
      <c r="V52" s="74"/>
      <c r="W52" s="74"/>
      <c r="X52" s="74"/>
    </row>
    <row r="53" spans="2:24" s="90" customFormat="1" ht="23.25">
      <c r="B53" s="91" t="s">
        <v>332</v>
      </c>
      <c r="C53" s="89"/>
      <c r="D53" s="89"/>
      <c r="E53" s="89"/>
      <c r="F53" s="89"/>
      <c r="G53" s="89"/>
      <c r="H53" s="89"/>
      <c r="I53" s="89"/>
      <c r="J53" s="89"/>
      <c r="K53" s="89"/>
      <c r="L53" s="89"/>
      <c r="M53" s="89"/>
      <c r="N53" s="89"/>
      <c r="O53" s="89"/>
      <c r="P53" s="89"/>
      <c r="Q53" s="89"/>
      <c r="R53" s="89"/>
      <c r="S53" s="89"/>
      <c r="T53" s="89"/>
      <c r="U53" s="89"/>
      <c r="V53" s="89"/>
      <c r="W53" s="89"/>
      <c r="X53" s="89"/>
    </row>
    <row r="54" spans="2:24" s="93" customFormat="1" ht="23.25">
      <c r="B54" s="94"/>
      <c r="C54" s="95"/>
      <c r="D54" s="95"/>
      <c r="E54" s="95"/>
      <c r="F54" s="95"/>
      <c r="G54" s="95"/>
      <c r="H54" s="95"/>
      <c r="I54" s="95"/>
      <c r="J54" s="95"/>
      <c r="K54" s="95"/>
      <c r="L54" s="95"/>
      <c r="M54" s="95"/>
      <c r="N54" s="95"/>
      <c r="O54" s="95"/>
      <c r="P54" s="95"/>
      <c r="Q54" s="95"/>
      <c r="R54" s="95"/>
      <c r="S54" s="95"/>
      <c r="T54" s="95"/>
      <c r="U54" s="95"/>
      <c r="V54" s="95"/>
      <c r="W54" s="95"/>
      <c r="X54" s="95"/>
    </row>
    <row r="55" spans="2:24" ht="23.25">
      <c r="B55" s="117" t="s">
        <v>339</v>
      </c>
      <c r="C55" s="117"/>
      <c r="D55" s="74"/>
      <c r="E55" s="74"/>
      <c r="F55" s="74"/>
      <c r="G55" s="74"/>
      <c r="H55" s="74"/>
      <c r="I55" s="74"/>
      <c r="J55" s="74"/>
      <c r="K55" s="74"/>
      <c r="L55" s="74"/>
      <c r="M55" s="74"/>
      <c r="N55" s="74"/>
      <c r="O55" s="74"/>
      <c r="P55" s="74"/>
      <c r="Q55" s="74"/>
      <c r="R55" s="74"/>
      <c r="S55" s="74"/>
      <c r="T55" s="74"/>
      <c r="U55" s="74"/>
      <c r="V55" s="74"/>
      <c r="W55" s="74"/>
      <c r="X55" s="74"/>
    </row>
    <row r="56" spans="2:24" ht="15.75">
      <c r="B56" s="79" t="s">
        <v>343</v>
      </c>
      <c r="C56" s="74"/>
      <c r="D56" s="74"/>
      <c r="E56" s="74"/>
      <c r="F56" s="74"/>
      <c r="G56" s="74"/>
      <c r="H56" s="74"/>
      <c r="I56" s="74"/>
      <c r="J56" s="74"/>
      <c r="K56" s="74"/>
      <c r="L56" s="74"/>
      <c r="M56" s="74"/>
      <c r="N56" s="74"/>
      <c r="O56" s="74"/>
      <c r="P56" s="74"/>
      <c r="Q56" s="74"/>
      <c r="R56" s="74"/>
      <c r="S56" s="74"/>
      <c r="T56" s="74"/>
      <c r="U56" s="74"/>
      <c r="V56" s="74"/>
      <c r="W56" s="74"/>
      <c r="X56" s="74"/>
    </row>
    <row r="57" spans="2:24" ht="15.75">
      <c r="B57" s="78"/>
      <c r="C57" s="74"/>
      <c r="D57" s="74"/>
      <c r="E57" s="74"/>
      <c r="F57" s="74"/>
      <c r="G57" s="74"/>
      <c r="H57" s="74"/>
      <c r="I57" s="74"/>
      <c r="J57" s="74"/>
      <c r="K57" s="74"/>
      <c r="L57" s="74"/>
      <c r="M57" s="74"/>
      <c r="N57" s="74"/>
      <c r="O57" s="74"/>
      <c r="P57" s="74"/>
      <c r="Q57" s="74"/>
      <c r="R57" s="74"/>
      <c r="S57" s="74"/>
      <c r="T57" s="74"/>
      <c r="U57" s="74"/>
      <c r="V57" s="74"/>
      <c r="W57" s="74"/>
      <c r="X57" s="74"/>
    </row>
    <row r="58" spans="2:24" ht="15.75">
      <c r="B58" s="75" t="s">
        <v>0</v>
      </c>
      <c r="C58" s="75" t="s">
        <v>1</v>
      </c>
      <c r="D58" s="75" t="s">
        <v>2</v>
      </c>
      <c r="E58" s="75" t="s">
        <v>342</v>
      </c>
      <c r="F58" s="75" t="s">
        <v>364</v>
      </c>
      <c r="G58" s="75" t="s">
        <v>57</v>
      </c>
      <c r="H58" s="75" t="s">
        <v>58</v>
      </c>
      <c r="I58" s="75" t="s">
        <v>333</v>
      </c>
      <c r="J58" s="75" t="s">
        <v>334</v>
      </c>
      <c r="K58" s="75" t="s">
        <v>309</v>
      </c>
      <c r="L58" s="75" t="s">
        <v>336</v>
      </c>
      <c r="M58" s="75" t="s">
        <v>329</v>
      </c>
      <c r="N58" s="75" t="s">
        <v>337</v>
      </c>
      <c r="O58" s="75" t="s">
        <v>344</v>
      </c>
      <c r="P58" s="75" t="s">
        <v>345</v>
      </c>
      <c r="Q58" s="75" t="s">
        <v>346</v>
      </c>
      <c r="R58" s="75" t="s">
        <v>82</v>
      </c>
      <c r="S58" s="75" t="s">
        <v>59</v>
      </c>
      <c r="T58" s="75" t="s">
        <v>60</v>
      </c>
      <c r="U58" s="75" t="s">
        <v>54</v>
      </c>
      <c r="V58" s="75" t="s">
        <v>55</v>
      </c>
      <c r="W58" s="75"/>
      <c r="X58" s="80"/>
    </row>
    <row r="59" spans="2:24" ht="15.75">
      <c r="B59" s="74" t="s">
        <v>6</v>
      </c>
      <c r="C59" s="74" t="s">
        <v>7</v>
      </c>
      <c r="D59" s="88">
        <v>158.94</v>
      </c>
      <c r="E59" s="76">
        <f>(1215528049+79292685)*0.000001</f>
        <v>1294.8207339999999</v>
      </c>
      <c r="F59" s="81">
        <f t="shared" ref="F59:F69" si="39">D59*E59</f>
        <v>205798.80746195998</v>
      </c>
      <c r="G59" s="82">
        <v>1498</v>
      </c>
      <c r="H59" s="82">
        <v>918</v>
      </c>
      <c r="I59" s="82">
        <v>0</v>
      </c>
      <c r="J59" s="82">
        <v>0</v>
      </c>
      <c r="K59" s="82">
        <f t="shared" ref="K59:K71" si="40">F59-G59+H59+I59+J59</f>
        <v>205218.80746195998</v>
      </c>
      <c r="L59" s="83">
        <v>5600</v>
      </c>
      <c r="M59" s="83">
        <v>7060</v>
      </c>
      <c r="N59" s="83">
        <v>8880</v>
      </c>
      <c r="O59" s="83">
        <v>-729</v>
      </c>
      <c r="P59" s="83">
        <v>-1348</v>
      </c>
      <c r="Q59" s="83">
        <v>1111</v>
      </c>
      <c r="R59" s="83">
        <v>-3460</v>
      </c>
      <c r="S59" s="83">
        <v>132</v>
      </c>
      <c r="T59" s="83">
        <v>2019</v>
      </c>
      <c r="U59" s="84"/>
      <c r="V59" s="84"/>
      <c r="W59" s="83"/>
      <c r="X59" s="74"/>
    </row>
    <row r="60" spans="2:24" ht="15.75">
      <c r="B60" s="74" t="s">
        <v>12</v>
      </c>
      <c r="C60" s="74" t="s">
        <v>13</v>
      </c>
      <c r="D60" s="88">
        <v>654.32000000000005</v>
      </c>
      <c r="E60" s="76">
        <v>280.29199999999997</v>
      </c>
      <c r="F60" s="81">
        <f t="shared" si="39"/>
        <v>183400.66144</v>
      </c>
      <c r="G60" s="82">
        <v>2884</v>
      </c>
      <c r="H60" s="82">
        <v>5973</v>
      </c>
      <c r="I60" s="82">
        <v>0</v>
      </c>
      <c r="J60" s="82">
        <v>0</v>
      </c>
      <c r="K60" s="82">
        <f t="shared" si="40"/>
        <v>186489.66144</v>
      </c>
      <c r="L60" s="83">
        <v>12726</v>
      </c>
      <c r="M60" s="83">
        <v>14368</v>
      </c>
      <c r="N60" s="83">
        <v>16285</v>
      </c>
      <c r="O60" s="83">
        <v>3152</v>
      </c>
      <c r="P60" s="83">
        <v>3934</v>
      </c>
      <c r="Q60" s="83">
        <v>4148</v>
      </c>
      <c r="R60" s="83">
        <v>2066</v>
      </c>
      <c r="S60" s="83">
        <v>2384</v>
      </c>
      <c r="T60" s="83">
        <v>2963</v>
      </c>
      <c r="U60" s="84"/>
      <c r="V60" s="84"/>
      <c r="W60" s="83"/>
      <c r="X60" s="74"/>
    </row>
    <row r="61" spans="2:24" ht="15.75">
      <c r="B61" s="74" t="s">
        <v>22</v>
      </c>
      <c r="C61" s="74" t="s">
        <v>23</v>
      </c>
      <c r="D61" s="88">
        <v>271.26</v>
      </c>
      <c r="E61" s="76">
        <v>334.1</v>
      </c>
      <c r="F61" s="81">
        <f t="shared" si="39"/>
        <v>90627.966</v>
      </c>
      <c r="G61" s="82">
        <v>1762.749</v>
      </c>
      <c r="H61" s="82">
        <v>0</v>
      </c>
      <c r="I61" s="82">
        <v>0</v>
      </c>
      <c r="J61" s="82">
        <v>10.286</v>
      </c>
      <c r="K61" s="82">
        <f t="shared" si="40"/>
        <v>88875.502999999997</v>
      </c>
      <c r="L61" s="82">
        <v>1219</v>
      </c>
      <c r="M61" s="82">
        <v>2066</v>
      </c>
      <c r="N61" s="82">
        <v>2806</v>
      </c>
      <c r="O61" s="82">
        <v>-693.5379999999999</v>
      </c>
      <c r="P61" s="82">
        <v>-778.73199999999986</v>
      </c>
      <c r="Q61" s="82">
        <v>-974.86999999999978</v>
      </c>
      <c r="R61" s="83">
        <v>-680</v>
      </c>
      <c r="S61" s="83">
        <v>-798</v>
      </c>
      <c r="T61" s="83">
        <v>-838</v>
      </c>
      <c r="U61" s="85"/>
      <c r="V61" s="85"/>
      <c r="W61" s="74"/>
      <c r="X61" s="74"/>
    </row>
    <row r="62" spans="2:24" ht="15.75">
      <c r="B62" s="74" t="s">
        <v>4</v>
      </c>
      <c r="C62" s="74" t="s">
        <v>5</v>
      </c>
      <c r="D62" s="88">
        <v>67.400000000000006</v>
      </c>
      <c r="E62" s="76">
        <v>989.24245199999996</v>
      </c>
      <c r="F62" s="81">
        <f t="shared" si="39"/>
        <v>66674.9412648</v>
      </c>
      <c r="G62" s="82">
        <v>8995</v>
      </c>
      <c r="H62" s="82">
        <v>11276</v>
      </c>
      <c r="I62" s="82">
        <v>0</v>
      </c>
      <c r="J62" s="82">
        <v>0</v>
      </c>
      <c r="K62" s="82">
        <f t="shared" si="40"/>
        <v>68955.9412648</v>
      </c>
      <c r="L62" s="83">
        <v>27518</v>
      </c>
      <c r="M62" s="83">
        <v>29771</v>
      </c>
      <c r="N62" s="83">
        <v>31797</v>
      </c>
      <c r="O62" s="83">
        <v>5154</v>
      </c>
      <c r="P62" s="83">
        <v>6100</v>
      </c>
      <c r="Q62" s="83">
        <v>6357</v>
      </c>
      <c r="R62" s="83">
        <v>2419</v>
      </c>
      <c r="S62" s="83">
        <f>'Paypal 3statement Model'!T45</f>
        <v>4246</v>
      </c>
      <c r="T62" s="83">
        <f>'Paypal 3statement Model'!U45</f>
        <v>4147</v>
      </c>
      <c r="U62" s="84"/>
      <c r="V62" s="84"/>
      <c r="W62" s="83"/>
      <c r="X62" s="74"/>
    </row>
    <row r="63" spans="2:24" ht="15.75">
      <c r="B63" s="74" t="s">
        <v>61</v>
      </c>
      <c r="C63" s="74" t="s">
        <v>62</v>
      </c>
      <c r="D63" s="88">
        <v>74.540000000000006</v>
      </c>
      <c r="E63" s="81">
        <v>619.48</v>
      </c>
      <c r="F63" s="81">
        <f t="shared" si="39"/>
        <v>46176.039200000007</v>
      </c>
      <c r="G63" s="82">
        <v>6384</v>
      </c>
      <c r="H63" s="82">
        <f>(1570979000+3539887000)*0.000001</f>
        <v>5110.866</v>
      </c>
      <c r="I63" s="82">
        <v>0</v>
      </c>
      <c r="J63" s="82">
        <v>-32970</v>
      </c>
      <c r="K63" s="82">
        <f t="shared" si="40"/>
        <v>11932.905200000008</v>
      </c>
      <c r="L63" s="83">
        <v>17531.587</v>
      </c>
      <c r="M63" s="83">
        <v>21915.623</v>
      </c>
      <c r="N63" s="83">
        <v>24121.053</v>
      </c>
      <c r="O63" s="83">
        <v>-369.00900000000001</v>
      </c>
      <c r="P63" s="83">
        <v>-31.966000000000001</v>
      </c>
      <c r="Q63" s="83">
        <v>1115.4000000000001</v>
      </c>
      <c r="R63" s="83">
        <f>-553005*0.001</f>
        <v>-553.005</v>
      </c>
      <c r="S63" s="83">
        <f>-21124*0.001</f>
        <v>-21.123999999999999</v>
      </c>
      <c r="T63" s="83">
        <f>2866497*0.001</f>
        <v>2866.4969999999998</v>
      </c>
      <c r="U63" s="84"/>
      <c r="V63" s="84"/>
      <c r="W63" s="83"/>
      <c r="X63" s="74"/>
    </row>
    <row r="64" spans="2:24" ht="15.75">
      <c r="B64" s="74" t="s">
        <v>8</v>
      </c>
      <c r="C64" s="74" t="s">
        <v>9</v>
      </c>
      <c r="D64" s="88">
        <v>64.260000000000005</v>
      </c>
      <c r="E64" s="76">
        <v>561.28894400000001</v>
      </c>
      <c r="F64" s="81">
        <f t="shared" si="39"/>
        <v>36068.427541440004</v>
      </c>
      <c r="G64" s="82">
        <v>1236</v>
      </c>
      <c r="H64" s="82">
        <f>23730+1110</f>
        <v>24840</v>
      </c>
      <c r="I64" s="82">
        <v>0</v>
      </c>
      <c r="J64" s="82">
        <v>0</v>
      </c>
      <c r="K64" s="82">
        <f t="shared" si="40"/>
        <v>59672.427541440004</v>
      </c>
      <c r="L64" s="83">
        <v>17737</v>
      </c>
      <c r="M64" s="83">
        <v>19093</v>
      </c>
      <c r="N64" s="83">
        <v>20456</v>
      </c>
      <c r="O64" s="83">
        <v>7391</v>
      </c>
      <c r="P64" s="83">
        <v>8176</v>
      </c>
      <c r="Q64" s="83">
        <v>9048</v>
      </c>
      <c r="R64" s="83">
        <v>3021</v>
      </c>
      <c r="S64" s="83">
        <v>3129</v>
      </c>
      <c r="T64" s="83">
        <v>3211</v>
      </c>
      <c r="U64" s="84"/>
      <c r="V64" s="84"/>
      <c r="W64" s="83"/>
      <c r="X64" s="74"/>
    </row>
    <row r="65" spans="2:24" ht="15.75">
      <c r="B65" s="74" t="s">
        <v>18</v>
      </c>
      <c r="C65" s="74" t="s">
        <v>19</v>
      </c>
      <c r="D65" s="88">
        <v>30.95</v>
      </c>
      <c r="E65" s="76">
        <v>1096.540215</v>
      </c>
      <c r="F65" s="81">
        <f t="shared" si="39"/>
        <v>33937.919654249999</v>
      </c>
      <c r="G65" s="82">
        <v>2538</v>
      </c>
      <c r="H65" s="82">
        <f>3092+609</f>
        <v>3701</v>
      </c>
      <c r="I65" s="82">
        <v>0</v>
      </c>
      <c r="J65" s="82">
        <v>0</v>
      </c>
      <c r="K65" s="82">
        <f t="shared" si="40"/>
        <v>35100.919654249999</v>
      </c>
      <c r="L65" s="82">
        <v>1574</v>
      </c>
      <c r="M65" s="82">
        <v>2124</v>
      </c>
      <c r="N65" s="82">
        <v>2677</v>
      </c>
      <c r="O65" s="82">
        <v>-317.91699999999992</v>
      </c>
      <c r="P65" s="82">
        <v>-298.45399999999972</v>
      </c>
      <c r="Q65" s="82">
        <v>235.5619999999999</v>
      </c>
      <c r="R65" s="83">
        <v>-570.51699999999994</v>
      </c>
      <c r="S65" s="83">
        <v>-535.03799999999967</v>
      </c>
      <c r="T65" s="83">
        <v>249.5619999999999</v>
      </c>
      <c r="U65" s="85"/>
      <c r="V65" s="85"/>
      <c r="W65" s="74"/>
      <c r="X65" s="74"/>
    </row>
    <row r="66" spans="2:24" ht="15.75">
      <c r="B66" s="86" t="s">
        <v>16</v>
      </c>
      <c r="C66" s="74" t="s">
        <v>17</v>
      </c>
      <c r="D66" s="88">
        <v>75.14</v>
      </c>
      <c r="E66" s="76">
        <v>325.65031399999998</v>
      </c>
      <c r="F66" s="81">
        <f t="shared" si="39"/>
        <v>24469.364593959999</v>
      </c>
      <c r="G66" s="82">
        <v>1354</v>
      </c>
      <c r="H66" s="82">
        <f>1341.43+3236.873+1836.909</f>
        <v>6415.2119999999995</v>
      </c>
      <c r="I66" s="82">
        <v>0</v>
      </c>
      <c r="J66" s="82">
        <v>0</v>
      </c>
      <c r="K66" s="82">
        <f t="shared" si="40"/>
        <v>29530.576593959999</v>
      </c>
      <c r="L66" s="83">
        <v>1349.1</v>
      </c>
      <c r="M66" s="83">
        <v>1587</v>
      </c>
      <c r="N66" s="83">
        <v>2322</v>
      </c>
      <c r="O66" s="83">
        <v>-1006.56</v>
      </c>
      <c r="P66" s="83">
        <v>515.75199999999995</v>
      </c>
      <c r="Q66" s="83">
        <v>1034</v>
      </c>
      <c r="R66" s="83">
        <v>-707.40000000000043</v>
      </c>
      <c r="S66" s="83">
        <v>-985</v>
      </c>
      <c r="T66" s="83">
        <v>-518</v>
      </c>
      <c r="U66" s="85"/>
      <c r="V66" s="85"/>
      <c r="W66" s="83"/>
      <c r="X66" s="74"/>
    </row>
    <row r="67" spans="2:24" ht="15.75">
      <c r="B67" s="74" t="s">
        <v>10</v>
      </c>
      <c r="C67" s="74" t="s">
        <v>11</v>
      </c>
      <c r="D67" s="88">
        <v>77.23</v>
      </c>
      <c r="E67" s="76">
        <v>247.616186</v>
      </c>
      <c r="F67" s="81">
        <f t="shared" si="39"/>
        <v>19123.398044780002</v>
      </c>
      <c r="G67" s="82">
        <v>2538</v>
      </c>
      <c r="H67" s="82">
        <f>1076+15165</f>
        <v>16241</v>
      </c>
      <c r="I67" s="82"/>
      <c r="J67" s="82">
        <v>161</v>
      </c>
      <c r="K67" s="82">
        <f t="shared" si="40"/>
        <v>32987.398044779999</v>
      </c>
      <c r="L67" s="83">
        <v>8976</v>
      </c>
      <c r="M67" s="83">
        <v>9654</v>
      </c>
      <c r="N67" s="83">
        <v>10106</v>
      </c>
      <c r="O67" s="83">
        <v>2498</v>
      </c>
      <c r="P67" s="83">
        <v>3685</v>
      </c>
      <c r="Q67" s="83">
        <v>4404</v>
      </c>
      <c r="R67" s="83">
        <v>111</v>
      </c>
      <c r="S67" s="83">
        <v>987</v>
      </c>
      <c r="T67" s="83">
        <v>1571</v>
      </c>
      <c r="U67" s="84"/>
      <c r="V67" s="84"/>
      <c r="W67" s="83"/>
      <c r="X67" s="74"/>
    </row>
    <row r="68" spans="2:24" ht="15.75">
      <c r="B68" s="74" t="s">
        <v>14</v>
      </c>
      <c r="C68" s="74" t="s">
        <v>15</v>
      </c>
      <c r="D68" s="88">
        <v>32</v>
      </c>
      <c r="E68" s="76">
        <v>575</v>
      </c>
      <c r="F68" s="81">
        <f t="shared" si="39"/>
        <v>18400</v>
      </c>
      <c r="G68" s="82">
        <v>903</v>
      </c>
      <c r="H68" s="82">
        <v>0</v>
      </c>
      <c r="I68" s="82">
        <v>0</v>
      </c>
      <c r="J68" s="82">
        <v>0</v>
      </c>
      <c r="K68" s="82">
        <f t="shared" si="40"/>
        <v>17497</v>
      </c>
      <c r="L68" s="83">
        <v>2731</v>
      </c>
      <c r="M68" s="83">
        <v>3865</v>
      </c>
      <c r="N68" s="83">
        <v>2731</v>
      </c>
      <c r="O68" s="83">
        <v>-92</v>
      </c>
      <c r="P68" s="83">
        <v>-97</v>
      </c>
      <c r="Q68" s="83">
        <v>166</v>
      </c>
      <c r="R68" s="83">
        <v>-270</v>
      </c>
      <c r="S68" s="83">
        <v>-241</v>
      </c>
      <c r="T68" s="83">
        <v>24</v>
      </c>
      <c r="U68" s="85"/>
      <c r="V68" s="85"/>
      <c r="W68" s="83"/>
      <c r="X68" s="74"/>
    </row>
    <row r="69" spans="2:24" ht="15.75">
      <c r="B69" s="74" t="s">
        <v>340</v>
      </c>
      <c r="C69" s="74" t="s">
        <v>341</v>
      </c>
      <c r="D69" s="88">
        <v>6.23</v>
      </c>
      <c r="E69" s="76">
        <v>359.85407600000002</v>
      </c>
      <c r="F69" s="81">
        <f t="shared" si="39"/>
        <v>2241.8908934800002</v>
      </c>
      <c r="G69" s="82">
        <v>497.46699999999998</v>
      </c>
      <c r="H69" s="82">
        <v>0</v>
      </c>
      <c r="I69" s="82">
        <v>0</v>
      </c>
      <c r="J69" s="82">
        <v>0</v>
      </c>
      <c r="K69" s="82">
        <f t="shared" si="40"/>
        <v>1744.4238934800001</v>
      </c>
      <c r="L69" s="82">
        <v>627.62300000000005</v>
      </c>
      <c r="M69" s="82">
        <v>831.10299999999995</v>
      </c>
      <c r="N69" s="82">
        <v>977.71600000000001</v>
      </c>
      <c r="O69" s="82">
        <v>-1.3559999999999945</v>
      </c>
      <c r="P69" s="82">
        <v>131.42299999999989</v>
      </c>
      <c r="Q69" s="82">
        <v>196.32699999999988</v>
      </c>
      <c r="R69" s="82">
        <v>-11.968</v>
      </c>
      <c r="S69" s="82">
        <v>93.332999999999998</v>
      </c>
      <c r="T69" s="82">
        <v>121.163</v>
      </c>
      <c r="U69" s="85"/>
      <c r="V69" s="85"/>
      <c r="W69" s="74"/>
      <c r="X69" s="74"/>
    </row>
    <row r="70" spans="2:24" ht="15.75">
      <c r="B70" s="74" t="s">
        <v>349</v>
      </c>
      <c r="C70" s="74" t="s">
        <v>350</v>
      </c>
      <c r="D70" s="88">
        <v>4.17</v>
      </c>
      <c r="E70" s="76">
        <f>(504321567)*0.000001</f>
        <v>504.32156699999996</v>
      </c>
      <c r="F70" s="76">
        <f>(504321567)*0.000001</f>
        <v>504.32156699999996</v>
      </c>
      <c r="G70" s="82">
        <v>923.01599999999996</v>
      </c>
      <c r="H70" s="82">
        <v>0</v>
      </c>
      <c r="I70" s="82">
        <v>0</v>
      </c>
      <c r="J70" s="82">
        <v>0</v>
      </c>
      <c r="K70" s="82">
        <f t="shared" si="40"/>
        <v>-418.694433</v>
      </c>
      <c r="L70" s="76">
        <v>748.20600000000002</v>
      </c>
      <c r="M70" s="76">
        <v>676.17100000000005</v>
      </c>
      <c r="N70" s="76">
        <v>506.995</v>
      </c>
      <c r="O70" s="74">
        <v>-194.34799999999996</v>
      </c>
      <c r="P70" s="74">
        <v>-266.55499999999995</v>
      </c>
      <c r="Q70" s="74">
        <v>-7.0060000000000073</v>
      </c>
      <c r="R70" s="74">
        <v>-184.77999999999994</v>
      </c>
      <c r="S70" s="74">
        <v>-223.00199999999992</v>
      </c>
      <c r="T70" s="74">
        <v>27.286999999999992</v>
      </c>
      <c r="U70" s="74"/>
      <c r="V70" s="74"/>
      <c r="W70" s="74"/>
      <c r="X70" s="74"/>
    </row>
    <row r="71" spans="2:24" ht="15.75">
      <c r="B71" s="74" t="s">
        <v>347</v>
      </c>
      <c r="C71" s="74" t="s">
        <v>348</v>
      </c>
      <c r="D71" s="88">
        <v>24.88</v>
      </c>
      <c r="E71" s="76">
        <f>(339528738+32182289)*0.000001</f>
        <v>371.711027</v>
      </c>
      <c r="F71" s="76">
        <f>(339528738+32182289)*0.000001</f>
        <v>371.711027</v>
      </c>
      <c r="G71" s="82">
        <v>445.02600000000001</v>
      </c>
      <c r="H71" s="82">
        <v>0</v>
      </c>
      <c r="I71" s="82">
        <v>0</v>
      </c>
      <c r="J71" s="82">
        <v>0</v>
      </c>
      <c r="K71" s="82">
        <f t="shared" si="40"/>
        <v>-73.314973000000009</v>
      </c>
      <c r="L71" s="74"/>
      <c r="M71" s="74"/>
      <c r="N71" s="85">
        <v>1198.057</v>
      </c>
      <c r="O71" s="74"/>
      <c r="P71" s="74"/>
      <c r="Q71" s="76">
        <v>-16.805000000000089</v>
      </c>
      <c r="R71" s="74"/>
      <c r="S71" s="74"/>
      <c r="T71" s="76">
        <v>-5.7380000000000893</v>
      </c>
      <c r="U71" s="74"/>
      <c r="V71" s="74"/>
      <c r="W71" s="74"/>
      <c r="X71" s="74"/>
    </row>
    <row r="72" spans="2:24" ht="15.75">
      <c r="B72" s="74"/>
      <c r="C72" s="74"/>
      <c r="D72" s="74"/>
      <c r="E72" s="74"/>
      <c r="F72" s="74"/>
      <c r="G72" s="74"/>
      <c r="H72" s="74"/>
      <c r="I72" s="74"/>
      <c r="J72" s="74"/>
      <c r="K72" s="74"/>
      <c r="L72" s="74"/>
      <c r="M72" s="74"/>
      <c r="N72" s="74"/>
      <c r="O72" s="74"/>
      <c r="P72" s="74"/>
      <c r="Q72" s="74"/>
      <c r="R72" s="74"/>
      <c r="S72" s="74"/>
      <c r="T72" s="74"/>
      <c r="U72" s="74"/>
      <c r="V72" s="74"/>
      <c r="W72" s="74"/>
      <c r="X72" s="74"/>
    </row>
    <row r="73" spans="2:24" ht="15.75">
      <c r="B73" s="74"/>
      <c r="C73" s="74"/>
      <c r="D73" s="74"/>
      <c r="E73" s="74"/>
      <c r="F73" s="74"/>
      <c r="G73" s="74"/>
      <c r="H73" s="74"/>
      <c r="I73" s="74"/>
      <c r="J73" s="74"/>
      <c r="K73" s="74"/>
      <c r="L73" s="74"/>
      <c r="M73" s="74"/>
      <c r="N73" s="74"/>
      <c r="O73" s="74"/>
      <c r="P73" s="74"/>
      <c r="Q73" s="74"/>
      <c r="R73" s="74"/>
      <c r="S73" s="74"/>
      <c r="T73" s="74"/>
      <c r="U73" s="74"/>
      <c r="V73" s="74"/>
      <c r="W73" s="74"/>
      <c r="X73" s="74"/>
    </row>
    <row r="74" spans="2:24" ht="15.75">
      <c r="B74" s="74"/>
      <c r="C74" s="74"/>
      <c r="D74" s="74"/>
      <c r="E74" s="74"/>
      <c r="F74" s="74"/>
      <c r="G74" s="74"/>
      <c r="H74" s="74"/>
      <c r="I74" s="74"/>
      <c r="J74" s="74"/>
      <c r="K74" s="74"/>
      <c r="L74" s="74"/>
      <c r="M74" s="74"/>
      <c r="N74" s="74"/>
      <c r="O74" s="74"/>
      <c r="P74" s="74"/>
      <c r="Q74" s="74"/>
      <c r="R74" s="74"/>
      <c r="S74" s="74"/>
      <c r="T74" s="74"/>
      <c r="U74" s="74"/>
      <c r="V74" s="74"/>
      <c r="W74" s="74"/>
      <c r="X74" s="74"/>
    </row>
    <row r="75" spans="2:24" ht="15.75">
      <c r="B75" s="77" t="s">
        <v>332</v>
      </c>
      <c r="C75" s="74"/>
      <c r="D75" s="74"/>
      <c r="E75" s="74"/>
      <c r="F75" s="74"/>
      <c r="G75" s="74"/>
      <c r="H75" s="74"/>
      <c r="I75" s="74"/>
      <c r="J75" s="74"/>
      <c r="K75" s="74"/>
      <c r="L75" s="74"/>
      <c r="M75" s="74"/>
      <c r="N75" s="74"/>
      <c r="O75" s="74"/>
      <c r="P75" s="74"/>
      <c r="Q75" s="74"/>
      <c r="R75" s="74"/>
      <c r="S75" s="74"/>
      <c r="T75" s="74"/>
      <c r="U75" s="74"/>
      <c r="V75" s="74"/>
      <c r="W75" s="74"/>
      <c r="X75" s="74"/>
    </row>
    <row r="76" spans="2:24" ht="15.75">
      <c r="B76" s="78" t="s">
        <v>338</v>
      </c>
      <c r="C76" s="74"/>
      <c r="D76" s="74"/>
      <c r="E76" s="74"/>
      <c r="F76" s="74"/>
      <c r="G76" s="74"/>
      <c r="H76" s="74"/>
      <c r="I76" s="74"/>
      <c r="J76" s="74"/>
      <c r="K76" s="74"/>
      <c r="L76" s="74"/>
      <c r="M76" s="74"/>
      <c r="N76" s="74"/>
      <c r="O76" s="74"/>
      <c r="P76" s="74"/>
      <c r="Q76" s="74"/>
      <c r="R76" s="74"/>
      <c r="S76" s="74"/>
      <c r="T76" s="74"/>
      <c r="U76" s="74"/>
      <c r="V76" s="74"/>
      <c r="W76" s="74"/>
      <c r="X76" s="74"/>
    </row>
    <row r="77" spans="2:24" ht="15.75">
      <c r="B77" s="78"/>
      <c r="C77" s="74"/>
      <c r="D77" s="74"/>
      <c r="E77" s="74"/>
      <c r="F77" s="74"/>
      <c r="G77" s="74"/>
      <c r="H77" s="74"/>
      <c r="I77" s="74"/>
      <c r="J77" s="74"/>
      <c r="K77" s="74"/>
      <c r="L77" s="74"/>
      <c r="M77" s="74"/>
      <c r="N77" s="74"/>
      <c r="O77" s="74"/>
      <c r="P77" s="74"/>
      <c r="Q77" s="74"/>
      <c r="R77" s="74"/>
      <c r="S77" s="74"/>
      <c r="T77" s="74"/>
      <c r="U77" s="74"/>
      <c r="V77" s="74"/>
      <c r="W77" s="74"/>
      <c r="X77" s="74"/>
    </row>
    <row r="78" spans="2:24" ht="14.25" customHeight="1">
      <c r="B78" s="75" t="s">
        <v>0</v>
      </c>
      <c r="C78" s="75" t="s">
        <v>1</v>
      </c>
      <c r="D78" s="75" t="s">
        <v>2</v>
      </c>
      <c r="E78" s="75"/>
      <c r="F78" s="75" t="s">
        <v>3</v>
      </c>
      <c r="G78" s="75" t="s">
        <v>57</v>
      </c>
      <c r="H78" s="75" t="s">
        <v>58</v>
      </c>
      <c r="I78" s="75" t="s">
        <v>333</v>
      </c>
      <c r="J78" s="75" t="s">
        <v>334</v>
      </c>
      <c r="K78" s="75" t="s">
        <v>309</v>
      </c>
      <c r="L78" s="75" t="s">
        <v>336</v>
      </c>
      <c r="M78" s="75" t="s">
        <v>329</v>
      </c>
      <c r="N78" s="75" t="s">
        <v>337</v>
      </c>
      <c r="O78" s="75" t="s">
        <v>335</v>
      </c>
      <c r="P78" s="75" t="s">
        <v>330</v>
      </c>
      <c r="Q78" s="75" t="s">
        <v>331</v>
      </c>
      <c r="R78" s="75" t="s">
        <v>82</v>
      </c>
      <c r="S78" s="75" t="s">
        <v>59</v>
      </c>
      <c r="T78" s="75" t="s">
        <v>60</v>
      </c>
      <c r="U78" s="75" t="s">
        <v>54</v>
      </c>
      <c r="V78" s="75" t="s">
        <v>55</v>
      </c>
      <c r="W78" s="74"/>
      <c r="X78" s="74"/>
    </row>
    <row r="79" spans="2:24" ht="15.75">
      <c r="B79" s="74" t="s">
        <v>20</v>
      </c>
      <c r="C79" s="74" t="s">
        <v>21</v>
      </c>
      <c r="D79" s="74">
        <v>556.73</v>
      </c>
      <c r="E79" s="74"/>
      <c r="F79" s="81">
        <f>(D79*247873415)*0.000001</f>
        <v>137998.56633294999</v>
      </c>
      <c r="G79" s="81"/>
      <c r="H79" s="81"/>
      <c r="I79" s="81"/>
      <c r="J79" s="81"/>
      <c r="K79" s="81">
        <f>F79-G79+H79</f>
        <v>137998.56633294999</v>
      </c>
      <c r="L79" s="74"/>
      <c r="M79" s="74"/>
      <c r="N79" s="74"/>
      <c r="O79" s="74"/>
      <c r="P79" s="74"/>
      <c r="Q79" s="74"/>
      <c r="R79" s="74"/>
      <c r="S79" s="74"/>
      <c r="T79" s="74"/>
      <c r="U79" s="85"/>
      <c r="V79" s="85"/>
      <c r="W79" s="74"/>
      <c r="X79" s="74"/>
    </row>
    <row r="80" spans="2:24" ht="15.75">
      <c r="B80" s="74"/>
      <c r="C80" s="74"/>
      <c r="D80" s="74"/>
      <c r="E80" s="74"/>
      <c r="F80" s="74"/>
      <c r="G80" s="74"/>
      <c r="H80" s="74"/>
      <c r="I80" s="74"/>
      <c r="J80" s="74"/>
      <c r="K80" s="74"/>
      <c r="L80" s="74"/>
      <c r="M80" s="74"/>
      <c r="N80" s="74"/>
      <c r="O80" s="74"/>
      <c r="P80" s="74"/>
      <c r="Q80" s="74"/>
      <c r="R80" s="74"/>
      <c r="S80" s="74"/>
      <c r="T80" s="74"/>
      <c r="U80" s="74"/>
      <c r="V80" s="74"/>
      <c r="W80" s="74"/>
      <c r="X80" s="74"/>
    </row>
    <row r="81" spans="2:24" ht="15.75">
      <c r="B81" s="74"/>
      <c r="C81" s="74"/>
      <c r="D81" s="74"/>
      <c r="E81" s="74"/>
      <c r="F81" s="74"/>
      <c r="G81" s="74"/>
      <c r="H81" s="74"/>
      <c r="I81" s="74"/>
      <c r="J81" s="74"/>
      <c r="K81" s="74"/>
      <c r="L81" s="74"/>
      <c r="M81" s="74"/>
      <c r="N81" s="74"/>
      <c r="O81" s="74"/>
      <c r="P81" s="74"/>
      <c r="Q81" s="74"/>
      <c r="R81" s="74"/>
      <c r="S81" s="74"/>
      <c r="T81" s="74"/>
      <c r="U81" s="74"/>
      <c r="V81" s="74"/>
      <c r="W81" s="74"/>
      <c r="X81" s="74"/>
    </row>
  </sheetData>
  <sortState xmlns:xlrd2="http://schemas.microsoft.com/office/spreadsheetml/2017/richdata2" ref="B58:AD71">
    <sortCondition descending="1" ref="F58:F71"/>
  </sortState>
  <mergeCells count="26">
    <mergeCell ref="E2:F2"/>
    <mergeCell ref="B2:D2"/>
    <mergeCell ref="AB2:AC2"/>
    <mergeCell ref="B3:D3"/>
    <mergeCell ref="B7:D7"/>
    <mergeCell ref="X12:Y12"/>
    <mergeCell ref="D12:D13"/>
    <mergeCell ref="E12:E13"/>
    <mergeCell ref="F12:F13"/>
    <mergeCell ref="G12:G13"/>
    <mergeCell ref="Q11:W11"/>
    <mergeCell ref="S12:T12"/>
    <mergeCell ref="U12:V12"/>
    <mergeCell ref="B55:C55"/>
    <mergeCell ref="I12:K12"/>
    <mergeCell ref="L12:M12"/>
    <mergeCell ref="N12:O12"/>
    <mergeCell ref="Q12:R12"/>
    <mergeCell ref="Z12:AA12"/>
    <mergeCell ref="AB12:AC12"/>
    <mergeCell ref="X11:AC11"/>
    <mergeCell ref="E26:G26"/>
    <mergeCell ref="I26:K26"/>
    <mergeCell ref="M26:O26"/>
    <mergeCell ref="U26:W26"/>
    <mergeCell ref="X26:AA26"/>
  </mergeCells>
  <conditionalFormatting sqref="Q21 S21 V20 T20 R20 U19:V19 Q19:R19 Q18:V18 R17 Q16:V16 R15 R14:V14 T15:U15 Q14:Q15">
    <cfRule type="colorScale" priority="3">
      <colorScale>
        <cfvo type="min"/>
        <cfvo type="percentile" val="50"/>
        <cfvo type="max"/>
        <color rgb="FFF8696B"/>
        <color rgb="FFFFEB84"/>
        <color rgb="FF63BE7B"/>
      </colorScale>
    </cfRule>
  </conditionalFormatting>
  <conditionalFormatting sqref="Q21 V20 T20 R20 U19:V19 Q19:R19 Q18:V18 Q16:V16 R15 R14:V14 T15:U15 Q14:Q15">
    <cfRule type="colorScale" priority="2">
      <colorScale>
        <cfvo type="min"/>
        <cfvo type="percentile" val="50"/>
        <cfvo type="max"/>
        <color rgb="FFF8696B"/>
        <color rgb="FFFFEB84"/>
        <color rgb="FF63BE7B"/>
      </colorScale>
    </cfRule>
  </conditionalFormatting>
  <conditionalFormatting sqref="Q21 V20 T20 U19:V19 Q19:R19 Q18:V18 U16:V16 Q16:R16 R14:V14 T15:U15 Q15">
    <cfRule type="colorScale" priority="1">
      <colorScale>
        <cfvo type="min"/>
        <cfvo type="percentile" val="50"/>
        <cfvo type="max"/>
        <color rgb="FFF8696B"/>
        <color rgb="FFFFEB84"/>
        <color rgb="FF63BE7B"/>
      </colorScale>
    </cfRule>
  </conditionalFormatting>
  <conditionalFormatting sqref="Q14:R21 S16 S14:V14 T15:V16 S18:V19 T20 V20 S21:T21">
    <cfRule type="colorScale" priority="6">
      <colorScale>
        <cfvo type="min"/>
        <cfvo type="percentile" val="50"/>
        <cfvo type="max"/>
        <color rgb="FFF8696B"/>
        <color rgb="FFFFEB84"/>
        <color rgb="FF63BE7B"/>
      </colorScale>
    </cfRule>
  </conditionalFormatting>
  <conditionalFormatting sqref="Q21:T21 V20 T20 Q20:R20 Q18:V19 R17 Q16:V16 Q15:R15 Q14:V14 T15:V15">
    <cfRule type="colorScale" priority="4">
      <colorScale>
        <cfvo type="min"/>
        <cfvo type="percentile" val="50"/>
        <cfvo type="max"/>
        <color rgb="FFF8696B"/>
        <color rgb="FFFFEB84"/>
        <color rgb="FF63BE7B"/>
      </colorScale>
    </cfRule>
  </conditionalFormatting>
  <conditionalFormatting sqref="X14:Y21 AA14:AA15 Z16:AC16 AC14:AC15 Z18:AC19 AC20 AA20 Z21:AA21">
    <cfRule type="colorScale" priority="7">
      <colorScale>
        <cfvo type="min"/>
        <cfvo type="percentile" val="50"/>
        <cfvo type="max"/>
        <color rgb="FF63BE7B"/>
        <color rgb="FFFFEB84"/>
        <color rgb="FFF8696B"/>
      </colorScale>
    </cfRule>
  </conditionalFormatting>
  <conditionalFormatting sqref="X14:AC21">
    <cfRule type="cellIs" dxfId="6" priority="5" operator="lessThan">
      <formula>0</formula>
    </cfRule>
    <cfRule type="cellIs" dxfId="5" priority="8" operator="between">
      <formula>5</formula>
      <formula>10</formula>
    </cfRule>
    <cfRule type="cellIs" dxfId="4" priority="9" operator="between">
      <formula>20</formula>
      <formula>25</formula>
    </cfRule>
    <cfRule type="cellIs" dxfId="3" priority="10" operator="between">
      <formula>0</formula>
      <formula>5</formula>
    </cfRule>
    <cfRule type="cellIs" dxfId="2" priority="13" operator="greaterThan">
      <formula>25</formula>
    </cfRule>
    <cfRule type="cellIs" dxfId="1" priority="14" operator="between">
      <formula>15</formula>
      <formula>20</formula>
    </cfRule>
    <cfRule type="cellIs" dxfId="0" priority="15" operator="greaterThanOrEqual">
      <formula>10</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B82ED-65E5-4ADA-A91C-AB74056A4C77}">
  <dimension ref="B2:X15"/>
  <sheetViews>
    <sheetView zoomScale="55" zoomScaleNormal="55" workbookViewId="0">
      <selection activeCell="E26" sqref="E26"/>
    </sheetView>
  </sheetViews>
  <sheetFormatPr defaultRowHeight="15"/>
  <sheetData>
    <row r="2" spans="2:24">
      <c r="B2" s="15" t="s">
        <v>0</v>
      </c>
      <c r="C2" s="15" t="s">
        <v>1</v>
      </c>
      <c r="D2" s="15" t="s">
        <v>2</v>
      </c>
      <c r="E2" s="15" t="s">
        <v>342</v>
      </c>
      <c r="F2" s="15" t="s">
        <v>3</v>
      </c>
      <c r="G2" s="15" t="s">
        <v>57</v>
      </c>
      <c r="H2" s="15" t="s">
        <v>58</v>
      </c>
      <c r="I2" s="15" t="s">
        <v>333</v>
      </c>
      <c r="J2" s="15" t="s">
        <v>334</v>
      </c>
      <c r="K2" s="15" t="s">
        <v>309</v>
      </c>
      <c r="L2" s="15" t="s">
        <v>336</v>
      </c>
      <c r="M2" s="15" t="s">
        <v>329</v>
      </c>
      <c r="N2" s="15" t="s">
        <v>337</v>
      </c>
      <c r="O2" s="15" t="s">
        <v>344</v>
      </c>
      <c r="P2" s="15" t="s">
        <v>345</v>
      </c>
      <c r="Q2" s="15" t="s">
        <v>346</v>
      </c>
      <c r="R2" s="15" t="s">
        <v>82</v>
      </c>
      <c r="S2" s="15" t="s">
        <v>59</v>
      </c>
      <c r="T2" s="15" t="s">
        <v>60</v>
      </c>
      <c r="U2" s="15" t="s">
        <v>54</v>
      </c>
      <c r="V2" s="15" t="s">
        <v>55</v>
      </c>
      <c r="W2" s="15"/>
      <c r="X2" s="2" t="s">
        <v>44</v>
      </c>
    </row>
    <row r="3" spans="2:24">
      <c r="B3" t="s">
        <v>61</v>
      </c>
      <c r="C3" t="s">
        <v>62</v>
      </c>
      <c r="D3">
        <v>74.540000000000006</v>
      </c>
      <c r="E3" s="1">
        <v>619.48</v>
      </c>
      <c r="F3" s="1">
        <f t="shared" ref="F3:F13" si="0">D3*E3</f>
        <v>46176.039200000007</v>
      </c>
      <c r="G3" s="3">
        <v>6384</v>
      </c>
      <c r="H3" s="3">
        <f>(1570979000+3539887000)*0.000001</f>
        <v>5110.866</v>
      </c>
      <c r="I3" s="3">
        <v>0</v>
      </c>
      <c r="J3" s="3">
        <v>-32970</v>
      </c>
      <c r="K3" s="3">
        <f t="shared" ref="K3:K11" si="1">F3-G3+H3+I3+J3</f>
        <v>11932.905200000008</v>
      </c>
      <c r="L3" s="7">
        <v>17531.587</v>
      </c>
      <c r="M3" s="7">
        <v>21915.623</v>
      </c>
      <c r="N3" s="7">
        <v>24121.053</v>
      </c>
      <c r="O3" s="7">
        <v>-369.00900000000001</v>
      </c>
      <c r="P3" s="7">
        <v>-31.966000000000001</v>
      </c>
      <c r="Q3" s="7">
        <v>1115.4000000000001</v>
      </c>
      <c r="R3" s="7">
        <f>-553005*0.001</f>
        <v>-553.005</v>
      </c>
      <c r="S3" s="7">
        <f>-21124*0.001</f>
        <v>-21.123999999999999</v>
      </c>
      <c r="T3" s="7">
        <f>2866497*0.001</f>
        <v>2866.4969999999998</v>
      </c>
      <c r="U3" s="71"/>
      <c r="V3" s="71"/>
      <c r="W3" s="7"/>
      <c r="X3" t="s">
        <v>323</v>
      </c>
    </row>
    <row r="4" spans="2:24">
      <c r="B4" t="s">
        <v>4</v>
      </c>
      <c r="C4" t="s">
        <v>5</v>
      </c>
      <c r="D4">
        <v>67.400000000000006</v>
      </c>
      <c r="E4" s="35">
        <v>989.24245199999996</v>
      </c>
      <c r="F4" s="1">
        <f t="shared" si="0"/>
        <v>66674.9412648</v>
      </c>
      <c r="G4" s="3">
        <v>8995</v>
      </c>
      <c r="H4" s="3">
        <v>11276</v>
      </c>
      <c r="I4" s="3">
        <v>0</v>
      </c>
      <c r="J4" s="3">
        <v>0</v>
      </c>
      <c r="K4" s="3">
        <f t="shared" si="1"/>
        <v>68955.9412648</v>
      </c>
      <c r="L4" s="7">
        <v>27518</v>
      </c>
      <c r="M4" s="7">
        <v>29771</v>
      </c>
      <c r="N4" s="7">
        <v>31797</v>
      </c>
      <c r="O4" s="7">
        <v>5154</v>
      </c>
      <c r="P4" s="7">
        <v>6100</v>
      </c>
      <c r="Q4" s="7">
        <v>6357</v>
      </c>
      <c r="R4" s="7">
        <v>2419</v>
      </c>
      <c r="S4" s="7">
        <f>'Paypal 3statement Model'!T26</f>
        <v>0</v>
      </c>
      <c r="T4" s="7">
        <f>'Paypal 3statement Model'!U26</f>
        <v>0</v>
      </c>
      <c r="U4" s="71"/>
      <c r="V4" s="71"/>
      <c r="W4" s="7"/>
      <c r="X4" t="s">
        <v>45</v>
      </c>
    </row>
    <row r="5" spans="2:24">
      <c r="B5" t="s">
        <v>6</v>
      </c>
      <c r="C5" t="s">
        <v>7</v>
      </c>
      <c r="D5">
        <v>158.94</v>
      </c>
      <c r="E5" s="35">
        <f>(1215528049+79292685)*0.000001</f>
        <v>1294.8207339999999</v>
      </c>
      <c r="F5" s="1">
        <f t="shared" si="0"/>
        <v>205798.80746195998</v>
      </c>
      <c r="G5" s="3">
        <v>1498</v>
      </c>
      <c r="H5" s="3">
        <v>918</v>
      </c>
      <c r="I5" s="3">
        <v>0</v>
      </c>
      <c r="J5" s="3">
        <v>0</v>
      </c>
      <c r="K5" s="3">
        <f t="shared" si="1"/>
        <v>205218.80746195998</v>
      </c>
      <c r="L5" s="7">
        <v>5600</v>
      </c>
      <c r="M5" s="7">
        <v>7060</v>
      </c>
      <c r="N5" s="7">
        <v>8880</v>
      </c>
      <c r="O5" s="7">
        <v>-729</v>
      </c>
      <c r="P5" s="7">
        <v>-1348</v>
      </c>
      <c r="Q5" s="7">
        <v>1111</v>
      </c>
      <c r="R5" s="7">
        <v>-3460</v>
      </c>
      <c r="S5" s="7">
        <v>132</v>
      </c>
      <c r="T5" s="7">
        <v>2019</v>
      </c>
      <c r="U5" s="71"/>
      <c r="V5" s="71"/>
      <c r="W5" s="7"/>
      <c r="X5" t="s">
        <v>324</v>
      </c>
    </row>
    <row r="6" spans="2:24">
      <c r="B6" t="s">
        <v>8</v>
      </c>
      <c r="C6" t="s">
        <v>9</v>
      </c>
      <c r="D6">
        <v>64.260000000000005</v>
      </c>
      <c r="E6" s="35">
        <v>561.28894400000001</v>
      </c>
      <c r="F6" s="1">
        <f t="shared" si="0"/>
        <v>36068.427541440004</v>
      </c>
      <c r="G6" s="3">
        <v>1236</v>
      </c>
      <c r="H6" s="3">
        <f>23730+1110</f>
        <v>24840</v>
      </c>
      <c r="I6" s="3">
        <v>0</v>
      </c>
      <c r="J6" s="3">
        <v>0</v>
      </c>
      <c r="K6" s="3">
        <f t="shared" si="1"/>
        <v>59672.427541440004</v>
      </c>
      <c r="L6" s="7">
        <v>17737</v>
      </c>
      <c r="M6" s="7">
        <v>19093</v>
      </c>
      <c r="N6" s="7">
        <v>20456</v>
      </c>
      <c r="O6" s="7">
        <v>7391</v>
      </c>
      <c r="P6" s="7">
        <v>8176</v>
      </c>
      <c r="Q6" s="7">
        <v>9048</v>
      </c>
      <c r="R6" s="7">
        <v>3021</v>
      </c>
      <c r="S6" s="7">
        <v>3129</v>
      </c>
      <c r="T6" s="7">
        <v>3211</v>
      </c>
      <c r="U6" s="71"/>
      <c r="V6" s="71"/>
      <c r="W6" s="7"/>
      <c r="X6" t="s">
        <v>325</v>
      </c>
    </row>
    <row r="7" spans="2:24">
      <c r="B7" t="s">
        <v>10</v>
      </c>
      <c r="C7" t="s">
        <v>11</v>
      </c>
      <c r="D7">
        <v>77.23</v>
      </c>
      <c r="E7" s="35">
        <v>247.616186</v>
      </c>
      <c r="F7" s="1">
        <f t="shared" si="0"/>
        <v>19123.398044780002</v>
      </c>
      <c r="G7" s="3">
        <v>2538</v>
      </c>
      <c r="H7" s="3">
        <f>1076+15165</f>
        <v>16241</v>
      </c>
      <c r="I7" s="3"/>
      <c r="J7" s="3">
        <v>161</v>
      </c>
      <c r="K7" s="3">
        <f t="shared" si="1"/>
        <v>32987.398044779999</v>
      </c>
      <c r="L7" s="7">
        <v>8976</v>
      </c>
      <c r="M7" s="7">
        <v>9654</v>
      </c>
      <c r="N7" s="7">
        <v>10106</v>
      </c>
      <c r="O7" s="7">
        <v>2498</v>
      </c>
      <c r="P7" s="7">
        <v>3685</v>
      </c>
      <c r="Q7" s="7">
        <v>4404</v>
      </c>
      <c r="R7" s="7">
        <v>111</v>
      </c>
      <c r="S7" s="7">
        <v>987</v>
      </c>
      <c r="T7" s="7">
        <v>1571</v>
      </c>
      <c r="U7" s="71"/>
      <c r="V7" s="71"/>
      <c r="W7" s="7"/>
      <c r="X7" t="s">
        <v>326</v>
      </c>
    </row>
    <row r="8" spans="2:24">
      <c r="B8" t="s">
        <v>12</v>
      </c>
      <c r="C8" t="s">
        <v>13</v>
      </c>
      <c r="D8">
        <v>654.32000000000005</v>
      </c>
      <c r="E8" s="35">
        <v>280.29199999999997</v>
      </c>
      <c r="F8" s="1">
        <f t="shared" si="0"/>
        <v>183400.66144</v>
      </c>
      <c r="G8" s="3">
        <v>2884</v>
      </c>
      <c r="H8" s="3">
        <v>5973</v>
      </c>
      <c r="I8" s="3">
        <v>0</v>
      </c>
      <c r="J8" s="3">
        <v>0</v>
      </c>
      <c r="K8" s="3">
        <f t="shared" si="1"/>
        <v>186489.66144</v>
      </c>
      <c r="L8" s="7">
        <v>12726</v>
      </c>
      <c r="M8" s="7">
        <v>14368</v>
      </c>
      <c r="N8" s="7">
        <v>16285</v>
      </c>
      <c r="O8" s="7">
        <v>3152</v>
      </c>
      <c r="P8" s="7">
        <v>3934</v>
      </c>
      <c r="Q8" s="7">
        <v>4148</v>
      </c>
      <c r="R8" s="7">
        <v>2066</v>
      </c>
      <c r="S8" s="7">
        <v>2384</v>
      </c>
      <c r="T8" s="7">
        <v>2963</v>
      </c>
      <c r="U8" s="71"/>
      <c r="V8" s="71"/>
      <c r="W8" s="7"/>
      <c r="X8" t="s">
        <v>327</v>
      </c>
    </row>
    <row r="9" spans="2:24">
      <c r="B9" t="s">
        <v>14</v>
      </c>
      <c r="C9" t="s">
        <v>15</v>
      </c>
      <c r="D9">
        <v>32</v>
      </c>
      <c r="E9" s="35">
        <v>575</v>
      </c>
      <c r="F9" s="1">
        <f t="shared" si="0"/>
        <v>18400</v>
      </c>
      <c r="G9" s="3">
        <v>903</v>
      </c>
      <c r="H9" s="3">
        <v>0</v>
      </c>
      <c r="I9" s="3">
        <v>0</v>
      </c>
      <c r="J9" s="3">
        <v>0</v>
      </c>
      <c r="K9" s="3">
        <f t="shared" si="1"/>
        <v>17497</v>
      </c>
      <c r="L9" s="7">
        <v>2731</v>
      </c>
      <c r="M9" s="7">
        <v>3865</v>
      </c>
      <c r="N9" s="7">
        <v>2731</v>
      </c>
      <c r="O9" s="7">
        <v>-92</v>
      </c>
      <c r="P9" s="7">
        <v>-97</v>
      </c>
      <c r="Q9" s="7">
        <v>166</v>
      </c>
      <c r="R9" s="7">
        <v>-270</v>
      </c>
      <c r="S9" s="7">
        <v>-241</v>
      </c>
      <c r="T9" s="7">
        <v>24</v>
      </c>
      <c r="U9" s="72"/>
      <c r="V9" s="72"/>
      <c r="W9" s="7"/>
      <c r="X9" t="s">
        <v>328</v>
      </c>
    </row>
    <row r="10" spans="2:24">
      <c r="B10" s="73" t="s">
        <v>16</v>
      </c>
      <c r="C10" t="s">
        <v>17</v>
      </c>
      <c r="D10">
        <v>75.14</v>
      </c>
      <c r="E10" s="35">
        <v>325.65031399999998</v>
      </c>
      <c r="F10" s="1">
        <f t="shared" si="0"/>
        <v>24469.364593959999</v>
      </c>
      <c r="G10" s="3">
        <v>1354</v>
      </c>
      <c r="H10" s="3">
        <f>1341.43+3236.873+1836.909</f>
        <v>6415.2119999999995</v>
      </c>
      <c r="I10" s="3">
        <v>0</v>
      </c>
      <c r="J10" s="3">
        <v>0</v>
      </c>
      <c r="K10" s="3">
        <f t="shared" si="1"/>
        <v>29530.576593959999</v>
      </c>
      <c r="L10" s="7">
        <v>1349.1</v>
      </c>
      <c r="M10" s="7">
        <v>1587</v>
      </c>
      <c r="N10" s="7">
        <v>2322</v>
      </c>
      <c r="O10" s="7">
        <v>-1006.56</v>
      </c>
      <c r="P10" s="7">
        <v>515.75199999999995</v>
      </c>
      <c r="Q10" s="7">
        <v>1034</v>
      </c>
      <c r="R10" s="7">
        <v>-707.40000000000043</v>
      </c>
      <c r="S10" s="7">
        <v>-985</v>
      </c>
      <c r="T10" s="7">
        <v>-518</v>
      </c>
      <c r="U10" s="72"/>
      <c r="V10" s="72"/>
      <c r="W10" s="7"/>
    </row>
    <row r="11" spans="2:24">
      <c r="B11" t="s">
        <v>18</v>
      </c>
      <c r="C11" t="s">
        <v>19</v>
      </c>
      <c r="D11">
        <v>30.95</v>
      </c>
      <c r="E11" s="35">
        <v>1096.540215</v>
      </c>
      <c r="F11" s="1">
        <f t="shared" si="0"/>
        <v>33937.919654249999</v>
      </c>
      <c r="G11" s="3">
        <v>2538</v>
      </c>
      <c r="H11" s="3">
        <f>3092+609</f>
        <v>3701</v>
      </c>
      <c r="I11" s="3">
        <v>0</v>
      </c>
      <c r="J11" s="3">
        <v>0</v>
      </c>
      <c r="K11" s="3">
        <f t="shared" si="1"/>
        <v>35100.919654249999</v>
      </c>
      <c r="L11" s="3">
        <v>1574</v>
      </c>
      <c r="M11" s="3">
        <v>2124</v>
      </c>
      <c r="N11" s="3">
        <v>2677</v>
      </c>
      <c r="O11" s="3">
        <v>-317.91699999999992</v>
      </c>
      <c r="P11" s="3">
        <v>-298.45399999999972</v>
      </c>
      <c r="Q11" s="3">
        <v>235.5619999999999</v>
      </c>
      <c r="R11" s="7">
        <v>-570.51699999999994</v>
      </c>
      <c r="S11" s="7">
        <v>-535.03799999999967</v>
      </c>
      <c r="T11" s="7">
        <v>249.5619999999999</v>
      </c>
      <c r="U11" s="72"/>
      <c r="V11" s="72"/>
    </row>
    <row r="12" spans="2:24">
      <c r="B12" t="s">
        <v>22</v>
      </c>
      <c r="C12" t="s">
        <v>23</v>
      </c>
      <c r="D12">
        <v>271.26</v>
      </c>
      <c r="E12" s="35">
        <v>334.1</v>
      </c>
      <c r="F12" s="1">
        <f t="shared" si="0"/>
        <v>90627.966</v>
      </c>
      <c r="G12" s="3">
        <v>1762.749</v>
      </c>
      <c r="H12" s="3">
        <v>0</v>
      </c>
      <c r="I12" s="3">
        <v>0</v>
      </c>
      <c r="J12" s="3">
        <v>10.286</v>
      </c>
      <c r="K12" s="3">
        <f>F12-G12+H12+I12+J12</f>
        <v>88875.502999999997</v>
      </c>
      <c r="L12" s="3">
        <v>1219</v>
      </c>
      <c r="M12" s="3">
        <v>2066</v>
      </c>
      <c r="N12" s="3">
        <v>2806</v>
      </c>
      <c r="O12" s="3">
        <v>-693.5379999999999</v>
      </c>
      <c r="P12" s="3">
        <v>-778.73199999999986</v>
      </c>
      <c r="Q12" s="3">
        <v>-974.86999999999978</v>
      </c>
      <c r="R12" s="7">
        <v>-680</v>
      </c>
      <c r="S12" s="7">
        <v>-798</v>
      </c>
      <c r="T12" s="7">
        <v>-838</v>
      </c>
      <c r="U12" s="72"/>
      <c r="V12" s="72"/>
    </row>
    <row r="13" spans="2:24">
      <c r="B13" t="s">
        <v>340</v>
      </c>
      <c r="C13" t="s">
        <v>341</v>
      </c>
      <c r="D13">
        <v>6.23</v>
      </c>
      <c r="E13" s="35">
        <v>359.85407600000002</v>
      </c>
      <c r="F13" s="1">
        <f t="shared" si="0"/>
        <v>2241.8908934800002</v>
      </c>
      <c r="G13" s="3">
        <v>497.46699999999998</v>
      </c>
      <c r="H13" s="3">
        <v>0</v>
      </c>
      <c r="I13" s="3">
        <v>0</v>
      </c>
      <c r="J13" s="3">
        <v>0</v>
      </c>
      <c r="K13" s="3">
        <f>F13-G13+H13+I13+J13</f>
        <v>1744.4238934800001</v>
      </c>
      <c r="L13" s="3">
        <v>627.62300000000005</v>
      </c>
      <c r="M13" s="3">
        <v>831.10299999999995</v>
      </c>
      <c r="N13" s="3">
        <v>977.71600000000001</v>
      </c>
      <c r="O13" s="3">
        <v>-1.3559999999999945</v>
      </c>
      <c r="P13" s="3">
        <v>131.42299999999989</v>
      </c>
      <c r="Q13" s="3">
        <v>196.32699999999988</v>
      </c>
      <c r="R13" s="3">
        <v>-11.968</v>
      </c>
      <c r="S13" s="3">
        <v>93.332999999999998</v>
      </c>
      <c r="T13" s="3">
        <v>121.163</v>
      </c>
      <c r="U13" s="72"/>
      <c r="V13" s="72"/>
    </row>
    <row r="14" spans="2:24">
      <c r="B14" t="s">
        <v>347</v>
      </c>
      <c r="C14" t="s">
        <v>348</v>
      </c>
      <c r="D14">
        <v>24.88</v>
      </c>
      <c r="E14" s="35">
        <f>(339528738+32182289)*0.000001</f>
        <v>371.711027</v>
      </c>
      <c r="F14" s="35">
        <f>(339528738+32182289)*0.000001</f>
        <v>371.711027</v>
      </c>
      <c r="G14" s="3">
        <v>445.02600000000001</v>
      </c>
      <c r="H14" s="3">
        <v>0</v>
      </c>
      <c r="I14" s="3">
        <v>0</v>
      </c>
      <c r="J14" s="3">
        <v>0</v>
      </c>
      <c r="K14" s="3">
        <f>F14-G14+H14+I14+J14</f>
        <v>-73.314973000000009</v>
      </c>
      <c r="N14" s="72">
        <v>1198.057</v>
      </c>
      <c r="Q14" s="35">
        <v>-16.805000000000089</v>
      </c>
      <c r="T14" s="35">
        <v>-5.7380000000000893</v>
      </c>
    </row>
    <row r="15" spans="2:24">
      <c r="B15" t="s">
        <v>349</v>
      </c>
      <c r="C15" t="s">
        <v>350</v>
      </c>
      <c r="D15">
        <v>4.17</v>
      </c>
      <c r="E15" s="35">
        <f>(504321567)*0.000001</f>
        <v>504.32156699999996</v>
      </c>
      <c r="F15" s="35">
        <f>(504321567)*0.000001</f>
        <v>504.32156699999996</v>
      </c>
      <c r="G15" s="3">
        <v>923.01599999999996</v>
      </c>
      <c r="H15" s="3">
        <v>0</v>
      </c>
      <c r="I15" s="3">
        <v>0</v>
      </c>
      <c r="J15" s="3">
        <v>0</v>
      </c>
      <c r="K15" s="3">
        <f>F15-G15+H15+I15+J15</f>
        <v>-418.694433</v>
      </c>
      <c r="L15" s="35">
        <v>748.20600000000002</v>
      </c>
      <c r="M15" s="35">
        <v>676.17100000000005</v>
      </c>
      <c r="N15" s="35">
        <v>506.995</v>
      </c>
      <c r="O15">
        <v>-194.34799999999996</v>
      </c>
      <c r="P15">
        <v>-266.55499999999995</v>
      </c>
      <c r="Q15">
        <v>-7.0060000000000073</v>
      </c>
      <c r="R15">
        <v>-184.77999999999994</v>
      </c>
      <c r="S15">
        <v>-223.00199999999992</v>
      </c>
      <c r="T15">
        <v>27.286999999999992</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F8B39-A7F8-4752-8A63-109C7DCCC8F1}">
  <dimension ref="B2:AA298"/>
  <sheetViews>
    <sheetView topLeftCell="A6" zoomScale="85" zoomScaleNormal="85" workbookViewId="0">
      <selection activeCell="U66" sqref="U66"/>
    </sheetView>
  </sheetViews>
  <sheetFormatPr defaultColWidth="8.85546875" defaultRowHeight="15"/>
  <cols>
    <col min="2" max="2" width="96" bestFit="1" customWidth="1"/>
    <col min="3" max="3" width="22.42578125" bestFit="1" customWidth="1"/>
    <col min="4" max="4" width="17.42578125" bestFit="1" customWidth="1"/>
    <col min="5" max="5" width="9.140625" bestFit="1" customWidth="1"/>
    <col min="6" max="7" width="10" bestFit="1" customWidth="1"/>
    <col min="8" max="8" width="9.140625" bestFit="1" customWidth="1"/>
    <col min="9" max="9" width="10" bestFit="1" customWidth="1"/>
    <col min="10" max="10" width="9.140625" bestFit="1" customWidth="1"/>
    <col min="11" max="11" width="11.42578125" bestFit="1" customWidth="1"/>
    <col min="12" max="12" width="8.7109375" bestFit="1" customWidth="1"/>
    <col min="13" max="14" width="9.140625" bestFit="1" customWidth="1"/>
    <col min="15" max="17" width="8.28515625" bestFit="1" customWidth="1"/>
    <col min="18" max="19" width="11" bestFit="1" customWidth="1"/>
    <col min="20" max="21" width="14.85546875" bestFit="1" customWidth="1"/>
    <col min="22" max="22" width="12.140625" bestFit="1" customWidth="1"/>
    <col min="26" max="26" width="11" bestFit="1" customWidth="1"/>
  </cols>
  <sheetData>
    <row r="2" spans="2:27" ht="39">
      <c r="B2" s="19" t="s">
        <v>64</v>
      </c>
      <c r="C2" s="19"/>
      <c r="D2" s="19"/>
      <c r="E2" s="19"/>
      <c r="F2" s="19"/>
      <c r="G2" s="19"/>
      <c r="H2" s="19"/>
      <c r="I2" s="19"/>
      <c r="J2" s="19"/>
      <c r="K2" s="19"/>
      <c r="L2" s="20"/>
      <c r="M2" s="20"/>
      <c r="N2" s="125" t="s">
        <v>63</v>
      </c>
      <c r="O2" s="125"/>
      <c r="P2" s="125"/>
      <c r="Q2" s="125"/>
      <c r="R2" s="125"/>
      <c r="S2" s="125"/>
      <c r="T2" s="125"/>
    </row>
    <row r="3" spans="2:27" ht="15.75">
      <c r="B3" s="16"/>
      <c r="C3" s="16"/>
      <c r="D3" s="16"/>
      <c r="E3" s="16"/>
      <c r="F3" s="16"/>
      <c r="G3" s="16"/>
      <c r="H3" s="16"/>
      <c r="I3" s="16"/>
      <c r="J3" s="16"/>
      <c r="K3" s="16"/>
    </row>
    <row r="4" spans="2:27" ht="15.75">
      <c r="F4" s="16"/>
      <c r="G4" s="16"/>
      <c r="H4" s="16"/>
      <c r="I4" s="16"/>
      <c r="J4" s="16"/>
      <c r="K4" s="16"/>
    </row>
    <row r="5" spans="2:27" ht="15.75">
      <c r="B5" t="s">
        <v>2</v>
      </c>
      <c r="C5" s="30">
        <v>67.400000000000006</v>
      </c>
      <c r="D5" s="30"/>
      <c r="E5" s="30"/>
      <c r="F5" s="16"/>
      <c r="G5" s="16"/>
      <c r="H5" s="16"/>
      <c r="I5" s="16"/>
      <c r="J5" s="16"/>
      <c r="K5" s="16"/>
    </row>
    <row r="6" spans="2:27" ht="15.75">
      <c r="B6" t="s">
        <v>41</v>
      </c>
      <c r="C6" s="7">
        <v>989</v>
      </c>
      <c r="D6" s="7" t="s">
        <v>26</v>
      </c>
      <c r="E6" s="7"/>
      <c r="F6" s="16"/>
      <c r="G6" s="16"/>
      <c r="H6" s="16"/>
      <c r="I6" s="16"/>
      <c r="J6" s="16"/>
      <c r="K6" s="16"/>
    </row>
    <row r="7" spans="2:27" ht="15.75">
      <c r="B7" t="s">
        <v>56</v>
      </c>
      <c r="C7" s="1">
        <f>C6*C5</f>
        <v>66658.600000000006</v>
      </c>
      <c r="D7" s="1"/>
      <c r="E7" s="1"/>
      <c r="F7" s="16"/>
      <c r="G7" s="16"/>
      <c r="H7" s="16"/>
      <c r="I7" s="16"/>
      <c r="J7" s="16"/>
      <c r="K7" s="16"/>
    </row>
    <row r="8" spans="2:27" ht="15.75">
      <c r="B8" t="s">
        <v>57</v>
      </c>
      <c r="C8" s="1">
        <v>6561</v>
      </c>
      <c r="D8" s="33" t="s">
        <v>26</v>
      </c>
      <c r="E8" s="1"/>
      <c r="F8" s="16"/>
      <c r="G8" s="16"/>
      <c r="H8" s="16"/>
      <c r="I8" s="16"/>
      <c r="J8" s="16"/>
      <c r="K8" s="16"/>
    </row>
    <row r="9" spans="2:27" ht="15.75">
      <c r="B9" t="s">
        <v>58</v>
      </c>
      <c r="C9" s="1">
        <v>9879</v>
      </c>
      <c r="D9" s="33" t="s">
        <v>26</v>
      </c>
      <c r="E9" s="1"/>
      <c r="F9" s="16"/>
      <c r="G9" s="16"/>
      <c r="H9" s="16"/>
      <c r="I9" s="16"/>
      <c r="J9" s="16"/>
      <c r="K9" s="16"/>
    </row>
    <row r="10" spans="2:27" ht="15.75">
      <c r="B10" t="s">
        <v>53</v>
      </c>
      <c r="C10" s="1">
        <f>C7+C9-C8</f>
        <v>69976.600000000006</v>
      </c>
      <c r="D10" s="1"/>
      <c r="E10" s="1"/>
      <c r="F10" s="16"/>
      <c r="G10" s="16"/>
      <c r="H10" s="16"/>
      <c r="I10" s="16"/>
      <c r="J10" s="16"/>
      <c r="K10" s="16"/>
    </row>
    <row r="11" spans="2:27" ht="15.75">
      <c r="B11" s="16"/>
      <c r="C11" s="16"/>
      <c r="D11" s="16"/>
      <c r="E11" s="16"/>
      <c r="F11" s="16"/>
      <c r="G11" s="16"/>
      <c r="H11" s="16"/>
      <c r="I11" s="16"/>
      <c r="J11" s="16"/>
      <c r="K11" s="16"/>
    </row>
    <row r="12" spans="2:27" ht="23.25">
      <c r="B12" s="17" t="s">
        <v>160</v>
      </c>
      <c r="C12" s="51"/>
      <c r="D12" s="51"/>
      <c r="E12" s="51"/>
      <c r="F12" s="51"/>
      <c r="G12" s="51"/>
      <c r="H12" s="51"/>
      <c r="I12" s="51"/>
      <c r="J12" s="51"/>
      <c r="K12" s="51"/>
      <c r="L12" s="52"/>
      <c r="M12" s="52"/>
      <c r="N12" s="52"/>
      <c r="O12" s="52"/>
      <c r="P12" s="52"/>
      <c r="Q12" s="52"/>
      <c r="R12" s="52"/>
      <c r="S12" s="52"/>
      <c r="T12" s="52"/>
      <c r="U12" s="52"/>
      <c r="V12" s="52"/>
      <c r="W12" s="52"/>
      <c r="X12" s="52"/>
      <c r="Y12" s="52"/>
      <c r="Z12" s="52"/>
      <c r="AA12" s="52"/>
    </row>
    <row r="13" spans="2:27" ht="15.75">
      <c r="B13" s="42"/>
      <c r="C13" s="126" t="s">
        <v>161</v>
      </c>
      <c r="D13" s="126"/>
      <c r="E13" s="126"/>
      <c r="F13" s="126"/>
      <c r="G13" s="126"/>
      <c r="H13" s="126"/>
      <c r="I13" s="126"/>
      <c r="J13" s="126"/>
      <c r="K13" s="126"/>
      <c r="L13" s="126"/>
      <c r="M13" s="126"/>
      <c r="N13" s="126"/>
      <c r="O13" s="126"/>
      <c r="P13" s="126"/>
      <c r="Q13" s="126"/>
      <c r="R13" s="43"/>
      <c r="S13" s="128" t="s">
        <v>161</v>
      </c>
      <c r="T13" s="128"/>
      <c r="U13" s="128"/>
      <c r="V13" s="123" t="s">
        <v>162</v>
      </c>
      <c r="W13" s="124"/>
      <c r="X13" s="124"/>
      <c r="Y13" s="124"/>
      <c r="Z13" s="124"/>
      <c r="AA13" s="124"/>
    </row>
    <row r="14" spans="2:27" ht="15.75">
      <c r="B14" s="42"/>
      <c r="C14" s="37" t="s">
        <v>142</v>
      </c>
      <c r="D14" s="37" t="s">
        <v>143</v>
      </c>
      <c r="E14" s="37" t="s">
        <v>144</v>
      </c>
      <c r="F14" s="37" t="s">
        <v>149</v>
      </c>
      <c r="G14" s="37" t="s">
        <v>148</v>
      </c>
      <c r="H14" s="38" t="s">
        <v>52</v>
      </c>
      <c r="I14" s="38" t="s">
        <v>51</v>
      </c>
      <c r="J14" s="38" t="s">
        <v>47</v>
      </c>
      <c r="K14" s="38" t="s">
        <v>26</v>
      </c>
      <c r="L14" s="38" t="s">
        <v>46</v>
      </c>
      <c r="M14" s="38" t="s">
        <v>50</v>
      </c>
      <c r="N14" s="38" t="s">
        <v>48</v>
      </c>
      <c r="O14" s="37"/>
      <c r="P14" s="37"/>
      <c r="Q14" s="37"/>
      <c r="R14" s="39">
        <v>44560</v>
      </c>
      <c r="S14" s="39">
        <v>44926</v>
      </c>
      <c r="T14" s="39">
        <f>EOMONTH(S14,12)</f>
        <v>45291</v>
      </c>
      <c r="U14" s="39">
        <f>EOMONTH(T14,12)</f>
        <v>45657</v>
      </c>
      <c r="V14" s="40">
        <v>46022</v>
      </c>
      <c r="W14" s="40">
        <f t="shared" ref="W14" si="0">EOMONTH(V14,12)</f>
        <v>46387</v>
      </c>
      <c r="X14" s="40">
        <f t="shared" ref="X14" si="1">EOMONTH(W14,12)</f>
        <v>46752</v>
      </c>
      <c r="Y14" s="40">
        <f t="shared" ref="Y14" si="2">EOMONTH(X14,12)</f>
        <v>47118</v>
      </c>
      <c r="Z14" s="40">
        <f t="shared" ref="Z14" si="3">EOMONTH(Y14,12)</f>
        <v>47483</v>
      </c>
      <c r="AA14" s="40">
        <f t="shared" ref="AA14" si="4">EOMONTH(Z14,12)</f>
        <v>47848</v>
      </c>
    </row>
    <row r="15" spans="2:27">
      <c r="B15" s="12" t="s">
        <v>218</v>
      </c>
      <c r="C15" s="7"/>
      <c r="D15" s="7"/>
      <c r="E15" s="7"/>
      <c r="F15" s="7"/>
      <c r="G15" s="7"/>
      <c r="H15" s="7"/>
      <c r="I15" s="7"/>
      <c r="J15" s="7"/>
      <c r="K15" s="7"/>
      <c r="L15" s="7"/>
      <c r="M15" s="7"/>
      <c r="N15" s="7"/>
      <c r="O15" s="7"/>
      <c r="P15" s="7"/>
      <c r="Q15" s="7"/>
      <c r="R15" s="7">
        <v>1250000</v>
      </c>
      <c r="S15" s="7">
        <v>1360000</v>
      </c>
      <c r="T15" s="7">
        <v>1530000</v>
      </c>
      <c r="U15" s="7">
        <v>1680000</v>
      </c>
      <c r="V15" s="7">
        <f>U15*(1+0.07)</f>
        <v>1797600</v>
      </c>
      <c r="W15" s="7">
        <f t="shared" ref="W15:AA15" si="5">V15*(1+0.07)</f>
        <v>1923432</v>
      </c>
      <c r="X15" s="7">
        <f t="shared" si="5"/>
        <v>2058072.2400000002</v>
      </c>
      <c r="Y15" s="7">
        <f t="shared" si="5"/>
        <v>2202137.2968000006</v>
      </c>
      <c r="Z15" s="7">
        <f t="shared" si="5"/>
        <v>2356286.9075760008</v>
      </c>
      <c r="AA15" s="7">
        <f t="shared" si="5"/>
        <v>2521226.9911063211</v>
      </c>
    </row>
    <row r="16" spans="2:27" ht="15.75">
      <c r="B16" s="12" t="s">
        <v>35</v>
      </c>
      <c r="C16" s="16"/>
      <c r="D16" s="11">
        <f t="shared" ref="D16:L16" si="6">(D32-C32)/C32</f>
        <v>4.9822612987814284E-2</v>
      </c>
      <c r="E16" s="11">
        <f t="shared" si="6"/>
        <v>5.8771672054069935E-3</v>
      </c>
      <c r="F16" s="11">
        <f t="shared" si="6"/>
        <v>2.833771545427987E-2</v>
      </c>
      <c r="G16" s="11">
        <f t="shared" si="6"/>
        <v>3.5085227272727275E-2</v>
      </c>
      <c r="H16" s="11">
        <f t="shared" si="6"/>
        <v>1.7977219706326333E-2</v>
      </c>
      <c r="I16" s="11">
        <f t="shared" si="6"/>
        <v>3.7880830412510114E-2</v>
      </c>
      <c r="J16" s="11">
        <f t="shared" si="6"/>
        <v>2.4158981685933237E-2</v>
      </c>
      <c r="K16" s="11">
        <f t="shared" si="6"/>
        <v>-4.8192771084337354E-3</v>
      </c>
      <c r="L16" s="11">
        <f t="shared" si="6"/>
        <v>-7.1364852809991082E-3</v>
      </c>
      <c r="M16" s="11">
        <f>(M32-L32)/L32</f>
        <v>5.6090360672570914E-2</v>
      </c>
      <c r="N16" s="11">
        <f>(N32-M32)/M32</f>
        <v>2.2970345162858532E-2</v>
      </c>
      <c r="O16" s="11"/>
      <c r="P16" s="11"/>
      <c r="Q16" s="11"/>
      <c r="T16" s="11">
        <f>(T32-S32)/S32</f>
        <v>8.1873682680427357E-2</v>
      </c>
      <c r="U16" s="11">
        <f>(U32-T32)/T32</f>
        <v>6.8052803063383835E-2</v>
      </c>
      <c r="V16" s="57">
        <v>7.0000000000000007E-2</v>
      </c>
      <c r="W16" s="57">
        <v>7.0000000000000007E-2</v>
      </c>
      <c r="X16" s="57">
        <v>7.0000000000000007E-2</v>
      </c>
      <c r="Y16" s="57">
        <v>7.0000000000000007E-2</v>
      </c>
      <c r="Z16" s="57">
        <v>7.0000000000000007E-2</v>
      </c>
      <c r="AA16" s="57">
        <v>7.0000000000000007E-2</v>
      </c>
    </row>
    <row r="17" spans="2:27" ht="15.75">
      <c r="B17" s="12" t="s">
        <v>274</v>
      </c>
      <c r="C17" s="16"/>
      <c r="D17" s="11">
        <f t="shared" ref="D17:L17" si="7">(D34-C34)/C34</f>
        <v>0.21409214092140921</v>
      </c>
      <c r="E17" s="11">
        <f t="shared" si="7"/>
        <v>-0.18080357142857142</v>
      </c>
      <c r="F17" s="11">
        <f t="shared" si="7"/>
        <v>0.20435967302452315</v>
      </c>
      <c r="G17" s="11">
        <f t="shared" si="7"/>
        <v>-9.9547511312217188E-2</v>
      </c>
      <c r="H17" s="11">
        <f t="shared" si="7"/>
        <v>0.12060301507537688</v>
      </c>
      <c r="I17" s="11">
        <f t="shared" si="7"/>
        <v>-0.2802690582959641</v>
      </c>
      <c r="J17" s="11">
        <f t="shared" si="7"/>
        <v>4.3613707165109032E-2</v>
      </c>
      <c r="K17" s="11">
        <f t="shared" si="7"/>
        <v>5.0746268656716415E-2</v>
      </c>
      <c r="L17" s="11">
        <f t="shared" si="7"/>
        <v>5.3977272727272728E-2</v>
      </c>
      <c r="M17" s="11">
        <f>(M34-L34)/L34</f>
        <v>0.28301886792452829</v>
      </c>
      <c r="N17" s="11">
        <f>(N34-M34)/M34</f>
        <v>1.4705882352941176E-2</v>
      </c>
      <c r="T17" s="11">
        <f>(T34-S34)/S34</f>
        <v>6.9974554707379136E-2</v>
      </c>
      <c r="U17" s="11">
        <f>(U34-T34)/T34</f>
        <v>-0.1426872770511296</v>
      </c>
      <c r="V17" s="57">
        <v>0.25</v>
      </c>
      <c r="W17" s="57">
        <v>0.25</v>
      </c>
      <c r="X17" s="57">
        <v>0.25</v>
      </c>
      <c r="Y17" s="57">
        <v>0.25</v>
      </c>
      <c r="Z17" s="57">
        <v>0.25</v>
      </c>
      <c r="AA17" s="57">
        <v>0.25</v>
      </c>
    </row>
    <row r="18" spans="2:27" ht="15.75">
      <c r="B18" s="12" t="s">
        <v>275</v>
      </c>
      <c r="C18" s="16"/>
      <c r="D18" s="11">
        <f t="shared" ref="D18:L18" si="8">(D35-C35)/C35</f>
        <v>3.7453183520599251E-3</v>
      </c>
      <c r="E18" s="11">
        <f t="shared" si="8"/>
        <v>-5.0373134328358209E-2</v>
      </c>
      <c r="F18" s="11">
        <f t="shared" si="8"/>
        <v>-4.1257367387033402E-2</v>
      </c>
      <c r="G18" s="11">
        <f t="shared" si="8"/>
        <v>8.1967213114754103E-3</v>
      </c>
      <c r="H18" s="11">
        <f t="shared" si="8"/>
        <v>-3.6585365853658534E-2</v>
      </c>
      <c r="I18" s="11">
        <f t="shared" si="8"/>
        <v>-4.2194092827004218E-2</v>
      </c>
      <c r="J18" s="11">
        <f t="shared" si="8"/>
        <v>-3.9647577092511016E-2</v>
      </c>
      <c r="K18" s="11">
        <f t="shared" si="8"/>
        <v>-2.0642201834862386E-2</v>
      </c>
      <c r="L18" s="11">
        <f t="shared" si="8"/>
        <v>-6.7915690866510545E-2</v>
      </c>
      <c r="M18" s="11">
        <f t="shared" ref="M18:N18" si="9">(M35-L35)/L35</f>
        <v>3.7688442211055273E-2</v>
      </c>
      <c r="N18" s="11">
        <f t="shared" si="9"/>
        <v>8.2324455205811137E-2</v>
      </c>
      <c r="T18" s="11">
        <f t="shared" ref="T18:U18" si="10">(T35-S35)/S35</f>
        <v>-9.4811320754716988E-2</v>
      </c>
      <c r="U18" s="11">
        <f t="shared" si="10"/>
        <v>-7.8686816050026059E-2</v>
      </c>
      <c r="V18" s="57">
        <v>-0.08</v>
      </c>
      <c r="W18" s="57">
        <v>-0.08</v>
      </c>
      <c r="X18" s="57">
        <v>-0.08</v>
      </c>
      <c r="Y18" s="57">
        <v>-0.08</v>
      </c>
      <c r="Z18" s="57">
        <v>-0.08</v>
      </c>
      <c r="AA18" s="57">
        <v>-0.08</v>
      </c>
    </row>
    <row r="19" spans="2:27" ht="15.75">
      <c r="B19" s="12" t="s">
        <v>276</v>
      </c>
      <c r="C19" s="16"/>
      <c r="D19" s="11">
        <f t="shared" ref="D19:L19" si="11">(D36-C36)/C36</f>
        <v>-6.225165562913907E-2</v>
      </c>
      <c r="E19" s="11">
        <f t="shared" si="11"/>
        <v>6.991525423728813E-2</v>
      </c>
      <c r="F19" s="11">
        <f t="shared" si="11"/>
        <v>2.5742574257425741E-2</v>
      </c>
      <c r="G19" s="11">
        <f t="shared" si="11"/>
        <v>-4.5045045045045043E-2</v>
      </c>
      <c r="H19" s="11">
        <f t="shared" si="11"/>
        <v>-1.4824797843665768E-2</v>
      </c>
      <c r="I19" s="11">
        <f t="shared" si="11"/>
        <v>1.094391244870041E-2</v>
      </c>
      <c r="J19" s="11">
        <f t="shared" si="11"/>
        <v>-3.7889039242219216E-2</v>
      </c>
      <c r="K19" s="11">
        <f t="shared" si="11"/>
        <v>-4.2194092827004216E-3</v>
      </c>
      <c r="L19" s="11">
        <f t="shared" si="11"/>
        <v>-0.68361581920903958</v>
      </c>
      <c r="M19" s="11">
        <f t="shared" ref="M19:N19" si="12">(M36-L36)/L36</f>
        <v>-0.171875</v>
      </c>
      <c r="N19" s="11">
        <f t="shared" si="12"/>
        <v>0.13746630727762804</v>
      </c>
      <c r="T19" s="11">
        <f t="shared" ref="T19:U19" si="13">(T36-S36)/S36</f>
        <v>-0.19849357554275587</v>
      </c>
      <c r="U19" s="11">
        <f t="shared" si="13"/>
        <v>0.10613598673300166</v>
      </c>
      <c r="V19" s="57">
        <v>0.11</v>
      </c>
      <c r="W19" s="57">
        <v>0.11</v>
      </c>
      <c r="X19" s="57">
        <v>0.11</v>
      </c>
      <c r="Y19" s="57">
        <v>0.11</v>
      </c>
      <c r="Z19" s="57">
        <v>0.11</v>
      </c>
      <c r="AA19" s="57">
        <v>0.11</v>
      </c>
    </row>
    <row r="20" spans="2:27" ht="15.75">
      <c r="B20" s="12" t="s">
        <v>38</v>
      </c>
      <c r="C20" s="16"/>
      <c r="D20" s="11">
        <f t="shared" ref="D20:L20" si="14">(D37-C37)/C37</f>
        <v>-4.6854082998661312E-2</v>
      </c>
      <c r="E20" s="11">
        <f t="shared" si="14"/>
        <v>3.3707865168539325E-2</v>
      </c>
      <c r="F20" s="11">
        <f t="shared" si="14"/>
        <v>8.2880434782608689E-2</v>
      </c>
      <c r="G20" s="11">
        <f t="shared" si="14"/>
        <v>-5.3952321204516936E-2</v>
      </c>
      <c r="H20" s="11">
        <f t="shared" si="14"/>
        <v>-7.161803713527852E-2</v>
      </c>
      <c r="I20" s="11">
        <f t="shared" si="14"/>
        <v>-2.8571428571428571E-3</v>
      </c>
      <c r="J20" s="11">
        <f t="shared" si="14"/>
        <v>3.0085959885386818E-2</v>
      </c>
      <c r="K20" s="11">
        <f t="shared" si="14"/>
        <v>-2.5034770514603615E-2</v>
      </c>
      <c r="L20" s="11">
        <f t="shared" si="14"/>
        <v>-1.7817403708987161</v>
      </c>
      <c r="M20" s="11">
        <f t="shared" ref="M20:N20" si="15">(M37-L37)/L37</f>
        <v>4.3795620437956206E-2</v>
      </c>
      <c r="N20" s="11">
        <f t="shared" si="15"/>
        <v>5.7692307692307696E-2</v>
      </c>
      <c r="T20" s="11">
        <f t="shared" ref="T20:U20" si="16">(T37-S37)/S37</f>
        <v>-8.6074392868121727E-2</v>
      </c>
      <c r="U20" s="11">
        <f t="shared" si="16"/>
        <v>2.0181634712411706E-3</v>
      </c>
      <c r="V20" s="57">
        <f>AVERAGE(L20:N20,0.05)</f>
        <v>-0.40756311069211304</v>
      </c>
      <c r="W20" s="57">
        <f t="shared" ref="W20:AA20" si="17">AVERAGE(M20:O20,0.05)</f>
        <v>5.0495976043421299E-2</v>
      </c>
      <c r="X20" s="57">
        <f t="shared" si="17"/>
        <v>5.3846153846153849E-2</v>
      </c>
      <c r="Y20" s="57">
        <f t="shared" si="17"/>
        <v>0.05</v>
      </c>
      <c r="Z20" s="57">
        <f t="shared" si="17"/>
        <v>0.05</v>
      </c>
      <c r="AA20" s="57">
        <f t="shared" si="17"/>
        <v>0.05</v>
      </c>
    </row>
    <row r="21" spans="2:27" ht="15.75">
      <c r="B21" s="12" t="s">
        <v>36</v>
      </c>
      <c r="C21" s="16"/>
      <c r="D21" s="11">
        <f t="shared" ref="D21:L21" si="18">(D38-C38)/C38</f>
        <v>-0.15321252059308071</v>
      </c>
      <c r="E21" s="11">
        <f t="shared" si="18"/>
        <v>-9.9221789883268477E-2</v>
      </c>
      <c r="F21" s="11">
        <f t="shared" si="18"/>
        <v>9.5032397408207347E-2</v>
      </c>
      <c r="G21" s="11">
        <f t="shared" si="18"/>
        <v>-3.1558185404339252E-2</v>
      </c>
      <c r="H21" s="11">
        <f t="shared" si="18"/>
        <v>3.2586558044806514E-2</v>
      </c>
      <c r="I21" s="11">
        <f t="shared" si="18"/>
        <v>-8.4812623274161739E-2</v>
      </c>
      <c r="J21" s="11">
        <f t="shared" si="18"/>
        <v>0.22844827586206898</v>
      </c>
      <c r="K21" s="11">
        <f t="shared" si="18"/>
        <v>-8.9473684210526316E-2</v>
      </c>
      <c r="L21" s="11">
        <f t="shared" si="18"/>
        <v>-3.0828516377649325E-2</v>
      </c>
      <c r="M21" s="11">
        <f t="shared" ref="M21:N21" si="19">(M38-L38)/L38</f>
        <v>-8.3499005964214709E-2</v>
      </c>
      <c r="N21" s="11">
        <f t="shared" si="19"/>
        <v>0.11279826464208242</v>
      </c>
      <c r="T21" s="11">
        <f t="shared" ref="T21:U21" si="20">(T38-S38)/S38</f>
        <v>-1.9056693663649357E-2</v>
      </c>
      <c r="U21" s="11">
        <f t="shared" si="20"/>
        <v>4.2739193783389993E-2</v>
      </c>
      <c r="V21" s="57">
        <v>0.02</v>
      </c>
      <c r="W21" s="57">
        <v>0.02</v>
      </c>
      <c r="X21" s="57">
        <v>0.02</v>
      </c>
      <c r="Y21" s="57">
        <v>0.02</v>
      </c>
      <c r="Z21" s="57">
        <v>0.02</v>
      </c>
      <c r="AA21" s="57">
        <v>0.02</v>
      </c>
    </row>
    <row r="22" spans="2:27" ht="15.75">
      <c r="B22" s="12" t="s">
        <v>153</v>
      </c>
      <c r="C22" s="16"/>
      <c r="D22" s="16"/>
      <c r="E22" s="16"/>
      <c r="F22" s="16"/>
      <c r="G22" s="16"/>
      <c r="H22" s="16"/>
      <c r="I22" s="16"/>
      <c r="J22" s="16"/>
      <c r="K22" s="16"/>
    </row>
    <row r="23" spans="2:27" ht="15.75">
      <c r="B23" s="16"/>
      <c r="C23" s="16"/>
      <c r="D23" s="16"/>
      <c r="E23" s="16"/>
      <c r="F23" s="16"/>
      <c r="G23" s="16"/>
      <c r="H23" s="16"/>
      <c r="I23" s="16"/>
      <c r="J23" s="16"/>
      <c r="K23" s="16"/>
    </row>
    <row r="24" spans="2:27" ht="15.75">
      <c r="B24" s="58" t="s">
        <v>251</v>
      </c>
      <c r="C24" s="16"/>
      <c r="D24" s="16"/>
      <c r="E24" s="16"/>
      <c r="F24" s="16"/>
      <c r="G24" s="16"/>
      <c r="H24" s="16"/>
      <c r="I24" s="16"/>
      <c r="J24" s="16"/>
      <c r="K24" s="16"/>
      <c r="S24" s="4"/>
      <c r="T24" s="4"/>
      <c r="U24" s="4"/>
    </row>
    <row r="25" spans="2:27" ht="15.75">
      <c r="B25" s="16"/>
      <c r="C25" s="16"/>
      <c r="D25" s="16"/>
      <c r="E25" s="16"/>
      <c r="F25" s="16"/>
      <c r="G25" s="16"/>
      <c r="H25" s="16"/>
      <c r="I25" s="16"/>
      <c r="J25" s="16"/>
      <c r="K25" s="16"/>
    </row>
    <row r="26" spans="2:27" ht="15.75">
      <c r="B26" s="16"/>
      <c r="C26" s="16"/>
      <c r="D26" s="16"/>
      <c r="E26" s="16"/>
      <c r="F26" s="16"/>
      <c r="G26" s="16"/>
      <c r="H26" s="16"/>
      <c r="I26" s="16"/>
      <c r="J26" s="16"/>
      <c r="K26" s="16"/>
    </row>
    <row r="27" spans="2:27" ht="15.75">
      <c r="B27" s="16"/>
      <c r="C27" s="16"/>
      <c r="D27" s="16"/>
      <c r="E27" s="16"/>
      <c r="F27" s="16"/>
      <c r="G27" s="16"/>
      <c r="H27" s="16"/>
      <c r="I27" s="16"/>
      <c r="J27" s="16"/>
      <c r="K27" s="16"/>
    </row>
    <row r="28" spans="2:27" ht="15.75">
      <c r="B28" s="16"/>
      <c r="C28" s="16"/>
      <c r="D28" s="16"/>
      <c r="E28" s="16"/>
      <c r="F28" s="16"/>
      <c r="G28" s="16"/>
      <c r="H28" s="16"/>
      <c r="I28" s="16"/>
      <c r="J28" s="16"/>
      <c r="K28" s="16"/>
    </row>
    <row r="29" spans="2:27" ht="23.25">
      <c r="B29" s="17" t="s">
        <v>65</v>
      </c>
      <c r="C29" s="17"/>
      <c r="D29" s="17"/>
      <c r="E29" s="17"/>
      <c r="F29" s="17"/>
      <c r="G29" s="17"/>
      <c r="H29" s="17"/>
      <c r="I29" s="17"/>
      <c r="J29" s="17"/>
      <c r="K29" s="18"/>
      <c r="L29" s="18"/>
      <c r="M29" s="18"/>
      <c r="N29" s="18"/>
      <c r="O29" s="18"/>
      <c r="P29" s="18"/>
      <c r="Q29" s="18"/>
      <c r="R29" s="18"/>
      <c r="S29" s="18"/>
      <c r="T29" s="18"/>
      <c r="U29" s="18"/>
    </row>
    <row r="30" spans="2:27" ht="23.25">
      <c r="B30" s="36"/>
      <c r="C30" s="126" t="s">
        <v>161</v>
      </c>
      <c r="D30" s="126"/>
      <c r="E30" s="126"/>
      <c r="F30" s="126"/>
      <c r="G30" s="126"/>
      <c r="H30" s="126"/>
      <c r="I30" s="126"/>
      <c r="J30" s="126"/>
      <c r="K30" s="126"/>
      <c r="L30" s="126"/>
      <c r="M30" s="126"/>
      <c r="N30" s="126"/>
      <c r="O30" s="127" t="s">
        <v>162</v>
      </c>
      <c r="P30" s="127"/>
      <c r="Q30" s="127"/>
      <c r="R30" s="50"/>
      <c r="S30" s="122" t="s">
        <v>161</v>
      </c>
      <c r="T30" s="122"/>
      <c r="U30" s="122"/>
      <c r="V30" s="123" t="s">
        <v>162</v>
      </c>
      <c r="W30" s="124"/>
      <c r="X30" s="124"/>
      <c r="Y30" s="124"/>
      <c r="Z30" s="124"/>
      <c r="AA30" s="124"/>
    </row>
    <row r="31" spans="2:27">
      <c r="B31" s="41"/>
      <c r="C31" s="37" t="s">
        <v>142</v>
      </c>
      <c r="D31" s="37" t="s">
        <v>143</v>
      </c>
      <c r="E31" s="37" t="s">
        <v>144</v>
      </c>
      <c r="F31" s="37" t="s">
        <v>149</v>
      </c>
      <c r="G31" s="37" t="s">
        <v>148</v>
      </c>
      <c r="H31" s="38" t="s">
        <v>52</v>
      </c>
      <c r="I31" s="38" t="s">
        <v>51</v>
      </c>
      <c r="J31" s="38" t="s">
        <v>47</v>
      </c>
      <c r="K31" s="38" t="s">
        <v>26</v>
      </c>
      <c r="L31" s="38" t="s">
        <v>46</v>
      </c>
      <c r="M31" s="38" t="s">
        <v>50</v>
      </c>
      <c r="N31" s="38" t="s">
        <v>48</v>
      </c>
      <c r="O31" s="49" t="s">
        <v>145</v>
      </c>
      <c r="P31" s="49" t="s">
        <v>147</v>
      </c>
      <c r="Q31" s="49" t="s">
        <v>146</v>
      </c>
      <c r="R31" s="21"/>
      <c r="S31" s="39">
        <v>44926</v>
      </c>
      <c r="T31" s="39">
        <f>EOMONTH(S31,12)</f>
        <v>45291</v>
      </c>
      <c r="U31" s="39">
        <f>EOMONTH(T31,12)</f>
        <v>45657</v>
      </c>
      <c r="V31" s="40">
        <f t="shared" ref="V31:AA31" si="21">EOMONTH(U31,12)</f>
        <v>46022</v>
      </c>
      <c r="W31" s="40">
        <f t="shared" si="21"/>
        <v>46387</v>
      </c>
      <c r="X31" s="40">
        <f t="shared" si="21"/>
        <v>46752</v>
      </c>
      <c r="Y31" s="40">
        <f t="shared" si="21"/>
        <v>47118</v>
      </c>
      <c r="Z31" s="40">
        <f t="shared" si="21"/>
        <v>47483</v>
      </c>
      <c r="AA31" s="40">
        <f t="shared" si="21"/>
        <v>47848</v>
      </c>
    </row>
    <row r="32" spans="2:27">
      <c r="B32" s="12" t="s">
        <v>24</v>
      </c>
      <c r="C32" s="7">
        <v>6483</v>
      </c>
      <c r="D32" s="7">
        <v>6806</v>
      </c>
      <c r="E32">
        <v>6846</v>
      </c>
      <c r="F32" s="3">
        <v>7040</v>
      </c>
      <c r="G32" s="7">
        <v>7287</v>
      </c>
      <c r="H32" s="7">
        <v>7418</v>
      </c>
      <c r="I32" s="7">
        <v>7699</v>
      </c>
      <c r="J32" s="7">
        <v>7885</v>
      </c>
      <c r="K32" s="7">
        <v>7847</v>
      </c>
      <c r="L32" s="7">
        <v>7791</v>
      </c>
      <c r="M32" s="7">
        <v>8228</v>
      </c>
      <c r="N32" s="7">
        <v>8417</v>
      </c>
      <c r="O32" s="7">
        <f>N32*(1+0.02)</f>
        <v>8585.34</v>
      </c>
      <c r="P32" s="7">
        <f t="shared" ref="P32:Q32" si="22">O32*(1+0.01)</f>
        <v>8671.1934000000001</v>
      </c>
      <c r="Q32" s="7">
        <f t="shared" si="22"/>
        <v>8757.9053340000009</v>
      </c>
      <c r="R32" s="5"/>
      <c r="S32" s="7">
        <v>27518</v>
      </c>
      <c r="T32" s="7">
        <v>29771</v>
      </c>
      <c r="U32" s="7">
        <v>31797</v>
      </c>
      <c r="V32" s="7">
        <f>U32*(1+V16)</f>
        <v>34022.79</v>
      </c>
      <c r="W32" s="7">
        <f>V32*(1+0.07)</f>
        <v>36404.385300000002</v>
      </c>
      <c r="X32" s="7">
        <f t="shared" ref="X32:AA32" si="23">W32*(1+0.07)</f>
        <v>38952.692271000007</v>
      </c>
      <c r="Y32" s="7">
        <f t="shared" si="23"/>
        <v>41679.380729970013</v>
      </c>
      <c r="Z32" s="7">
        <f t="shared" si="23"/>
        <v>44596.937381067917</v>
      </c>
      <c r="AA32" s="7">
        <f t="shared" si="23"/>
        <v>47718.722997742676</v>
      </c>
    </row>
    <row r="33" spans="2:27">
      <c r="B33" s="12" t="s">
        <v>29</v>
      </c>
      <c r="C33" s="7">
        <v>2817</v>
      </c>
      <c r="D33" s="7">
        <v>3044</v>
      </c>
      <c r="E33">
        <v>2988</v>
      </c>
      <c r="F33" s="3">
        <v>3283</v>
      </c>
      <c r="G33" s="7">
        <v>3541</v>
      </c>
      <c r="H33" s="7">
        <v>3603</v>
      </c>
      <c r="I33" s="7">
        <v>3917</v>
      </c>
      <c r="J33" s="7">
        <v>3942</v>
      </c>
      <c r="K33" s="7">
        <v>3841</v>
      </c>
      <c r="L33" s="7">
        <v>3704</v>
      </c>
      <c r="M33" s="7">
        <v>3968</v>
      </c>
      <c r="N33" s="7">
        <v>4063</v>
      </c>
      <c r="O33" s="7">
        <f>O32*0.49</f>
        <v>4206.8166000000001</v>
      </c>
      <c r="P33" s="7">
        <f t="shared" ref="P33:Q33" si="24">P32*0.49</f>
        <v>4248.8847660000001</v>
      </c>
      <c r="Q33" s="7">
        <f t="shared" si="24"/>
        <v>4291.37361366</v>
      </c>
      <c r="R33" s="5"/>
      <c r="S33" s="8">
        <v>12173</v>
      </c>
      <c r="T33" s="8">
        <v>14385</v>
      </c>
      <c r="U33" s="8">
        <v>15697</v>
      </c>
      <c r="V33" s="7">
        <f>V32*0.48</f>
        <v>16330.939200000001</v>
      </c>
      <c r="W33" s="7">
        <f t="shared" ref="W33:AA33" si="25">W32*0.48</f>
        <v>17474.104943999999</v>
      </c>
      <c r="X33" s="7">
        <f t="shared" si="25"/>
        <v>18697.292290080004</v>
      </c>
      <c r="Y33" s="7">
        <f t="shared" si="25"/>
        <v>20006.102750385606</v>
      </c>
      <c r="Z33" s="7">
        <f t="shared" si="25"/>
        <v>21406.529942912599</v>
      </c>
      <c r="AA33" s="7">
        <f t="shared" si="25"/>
        <v>22904.987038916483</v>
      </c>
    </row>
    <row r="34" spans="2:27">
      <c r="B34" s="12" t="s">
        <v>30</v>
      </c>
      <c r="C34" s="7">
        <v>369</v>
      </c>
      <c r="D34" s="7">
        <v>448</v>
      </c>
      <c r="E34">
        <v>367</v>
      </c>
      <c r="F34" s="3">
        <v>442</v>
      </c>
      <c r="G34" s="7">
        <v>398</v>
      </c>
      <c r="H34" s="7">
        <v>446</v>
      </c>
      <c r="I34" s="7">
        <v>321</v>
      </c>
      <c r="J34" s="7">
        <v>335</v>
      </c>
      <c r="K34" s="7">
        <v>352</v>
      </c>
      <c r="L34" s="7">
        <v>371</v>
      </c>
      <c r="M34" s="7">
        <v>476</v>
      </c>
      <c r="N34" s="7">
        <v>483</v>
      </c>
      <c r="O34" s="7">
        <f t="shared" ref="O34:O39" si="26">N34*(1+0.02)</f>
        <v>492.66</v>
      </c>
      <c r="P34" s="7">
        <f t="shared" ref="P34:P39" si="27">O34*(1+0.01)</f>
        <v>497.58660000000003</v>
      </c>
      <c r="Q34" s="7">
        <f t="shared" ref="Q34:Q39" si="28">P34*(1+0.01)</f>
        <v>502.56246600000003</v>
      </c>
      <c r="R34" s="5"/>
      <c r="S34" s="7">
        <v>1572</v>
      </c>
      <c r="T34" s="7">
        <v>1682</v>
      </c>
      <c r="U34" s="7">
        <v>1442</v>
      </c>
      <c r="V34" s="7">
        <f>U34*(1+V17)</f>
        <v>1802.5</v>
      </c>
      <c r="W34" s="7">
        <f t="shared" ref="W34:AA34" si="29">V34*(1+W17)</f>
        <v>2253.125</v>
      </c>
      <c r="X34" s="7">
        <f t="shared" si="29"/>
        <v>2816.40625</v>
      </c>
      <c r="Y34" s="7">
        <f t="shared" si="29"/>
        <v>3520.5078125</v>
      </c>
      <c r="Z34" s="7">
        <f t="shared" si="29"/>
        <v>4400.634765625</v>
      </c>
      <c r="AA34" s="7">
        <f t="shared" si="29"/>
        <v>5500.79345703125</v>
      </c>
    </row>
    <row r="35" spans="2:27">
      <c r="B35" s="12" t="s">
        <v>31</v>
      </c>
      <c r="C35" s="7">
        <v>534</v>
      </c>
      <c r="D35" s="7">
        <v>536</v>
      </c>
      <c r="E35">
        <v>509</v>
      </c>
      <c r="F35" s="3">
        <v>488</v>
      </c>
      <c r="G35" s="7">
        <v>492</v>
      </c>
      <c r="H35" s="7">
        <v>474</v>
      </c>
      <c r="I35" s="7">
        <v>454</v>
      </c>
      <c r="J35" s="7">
        <v>436</v>
      </c>
      <c r="K35" s="7">
        <v>427</v>
      </c>
      <c r="L35" s="7">
        <v>398</v>
      </c>
      <c r="M35" s="7">
        <v>413</v>
      </c>
      <c r="N35" s="7">
        <v>447</v>
      </c>
      <c r="O35" s="7">
        <f t="shared" si="26"/>
        <v>455.94</v>
      </c>
      <c r="P35" s="7">
        <f t="shared" si="27"/>
        <v>460.49939999999998</v>
      </c>
      <c r="Q35" s="7">
        <f t="shared" si="28"/>
        <v>465.10439399999996</v>
      </c>
      <c r="R35" s="5"/>
      <c r="S35" s="7">
        <v>2120</v>
      </c>
      <c r="T35" s="7">
        <v>1919</v>
      </c>
      <c r="U35" s="7">
        <v>1768</v>
      </c>
      <c r="V35" s="7">
        <f t="shared" ref="V35:AA36" si="30">U35*(1+V18)</f>
        <v>1626.5600000000002</v>
      </c>
      <c r="W35" s="7">
        <f t="shared" si="30"/>
        <v>1496.4352000000001</v>
      </c>
      <c r="X35" s="7">
        <f t="shared" si="30"/>
        <v>1376.7203840000002</v>
      </c>
      <c r="Y35" s="7">
        <f t="shared" si="30"/>
        <v>1266.5827532800001</v>
      </c>
      <c r="Z35" s="7">
        <f t="shared" si="30"/>
        <v>1165.2561330176002</v>
      </c>
      <c r="AA35" s="7">
        <f t="shared" si="30"/>
        <v>1072.0356423761923</v>
      </c>
    </row>
    <row r="36" spans="2:27">
      <c r="B36" s="12" t="s">
        <v>140</v>
      </c>
      <c r="C36" s="7">
        <f>594-1704-400</f>
        <v>-1510</v>
      </c>
      <c r="D36" s="7">
        <f>595-1623-388</f>
        <v>-1416</v>
      </c>
      <c r="E36">
        <f>544-1664-395</f>
        <v>-1515</v>
      </c>
      <c r="F36" s="3">
        <f>436-1596-394</f>
        <v>-1554</v>
      </c>
      <c r="G36" s="7">
        <f>465-1561-388</f>
        <v>-1484</v>
      </c>
      <c r="H36" s="7">
        <f>442-1521-383</f>
        <v>-1462</v>
      </c>
      <c r="I36" s="7">
        <f>421-1517-382</f>
        <v>-1478</v>
      </c>
      <c r="J36" s="7">
        <f>446-1490-378</f>
        <v>-1422</v>
      </c>
      <c r="K36" s="7">
        <f>508-1538-386</f>
        <v>-1416</v>
      </c>
      <c r="L36" s="7">
        <f>488-873-63</f>
        <v>-448</v>
      </c>
      <c r="M36" s="7">
        <f>583-889-65</f>
        <v>-371</v>
      </c>
      <c r="N36" s="7">
        <f>521-880-63</f>
        <v>-422</v>
      </c>
      <c r="O36" s="7">
        <f>N36*(1+0.3)</f>
        <v>-548.6</v>
      </c>
      <c r="P36" s="7">
        <f t="shared" ref="P36:Q36" si="31">O36*(1+0.3)</f>
        <v>-713.18000000000006</v>
      </c>
      <c r="Q36" s="7">
        <f t="shared" si="31"/>
        <v>-927.13400000000013</v>
      </c>
      <c r="R36" s="5"/>
      <c r="S36" s="7">
        <v>2257</v>
      </c>
      <c r="T36" s="7">
        <v>1809</v>
      </c>
      <c r="U36" s="7">
        <v>2001</v>
      </c>
      <c r="V36" s="7">
        <f t="shared" si="30"/>
        <v>2221.11</v>
      </c>
      <c r="W36" s="7">
        <f t="shared" si="30"/>
        <v>2465.4321000000004</v>
      </c>
      <c r="X36" s="7">
        <f t="shared" si="30"/>
        <v>2736.6296310000007</v>
      </c>
      <c r="Y36" s="7">
        <f t="shared" si="30"/>
        <v>3037.6588904100008</v>
      </c>
      <c r="Z36" s="7">
        <f t="shared" si="30"/>
        <v>3371.8013683551012</v>
      </c>
      <c r="AA36" s="7">
        <f t="shared" si="30"/>
        <v>3742.6995188741625</v>
      </c>
    </row>
    <row r="37" spans="2:27">
      <c r="B37" s="12" t="s">
        <v>32</v>
      </c>
      <c r="C37" s="7">
        <f>815-1107-455</f>
        <v>-747</v>
      </c>
      <c r="D37" s="7">
        <f>815-1095-432</f>
        <v>-712</v>
      </c>
      <c r="E37">
        <f>801-1099-438</f>
        <v>-736</v>
      </c>
      <c r="F37" s="3">
        <f>721-1079-439</f>
        <v>-797</v>
      </c>
      <c r="G37" s="7">
        <f>743-1068-429</f>
        <v>-754</v>
      </c>
      <c r="H37" s="7">
        <f>739-1011-428</f>
        <v>-700</v>
      </c>
      <c r="I37" s="7">
        <f>742-1010-430</f>
        <v>-698</v>
      </c>
      <c r="J37" s="7">
        <f>718-1008-429</f>
        <v>-719</v>
      </c>
      <c r="K37" s="7">
        <f>746-1012-435</f>
        <v>-701</v>
      </c>
      <c r="L37" s="7">
        <f>731-183</f>
        <v>548</v>
      </c>
      <c r="M37" s="7">
        <f>767-9-186</f>
        <v>572</v>
      </c>
      <c r="N37" s="7">
        <f>801-9-187</f>
        <v>605</v>
      </c>
      <c r="O37" s="7">
        <f t="shared" si="26"/>
        <v>617.1</v>
      </c>
      <c r="P37" s="7">
        <f t="shared" si="27"/>
        <v>623.27100000000007</v>
      </c>
      <c r="Q37" s="7">
        <f t="shared" si="28"/>
        <v>629.50371000000007</v>
      </c>
      <c r="R37" s="5"/>
      <c r="S37" s="7">
        <v>3253</v>
      </c>
      <c r="T37" s="7">
        <v>2973</v>
      </c>
      <c r="U37" s="7">
        <v>2979</v>
      </c>
      <c r="V37" s="7">
        <f>U37*(1+V20)</f>
        <v>1764.8694932481953</v>
      </c>
      <c r="W37" s="7">
        <f t="shared" ref="W37:AA37" si="32">V37*(1+W20)</f>
        <v>1853.9883008990214</v>
      </c>
      <c r="X37" s="7">
        <f t="shared" si="32"/>
        <v>1953.8184401781996</v>
      </c>
      <c r="Y37" s="7">
        <f t="shared" si="32"/>
        <v>2051.5093621871097</v>
      </c>
      <c r="Z37" s="7">
        <f t="shared" si="32"/>
        <v>2154.084830296465</v>
      </c>
      <c r="AA37" s="7">
        <f t="shared" si="32"/>
        <v>2261.7890718112885</v>
      </c>
    </row>
    <row r="38" spans="2:27">
      <c r="B38" s="12" t="s">
        <v>33</v>
      </c>
      <c r="C38" s="7">
        <v>607</v>
      </c>
      <c r="D38" s="7">
        <v>514</v>
      </c>
      <c r="E38">
        <v>463</v>
      </c>
      <c r="F38" s="3">
        <v>507</v>
      </c>
      <c r="G38" s="7">
        <v>491</v>
      </c>
      <c r="H38" s="7">
        <v>507</v>
      </c>
      <c r="I38" s="7">
        <v>464</v>
      </c>
      <c r="J38" s="7">
        <v>570</v>
      </c>
      <c r="K38" s="7">
        <v>519</v>
      </c>
      <c r="L38" s="7">
        <v>503</v>
      </c>
      <c r="M38" s="7">
        <v>461</v>
      </c>
      <c r="N38" s="7">
        <v>513</v>
      </c>
      <c r="O38" s="7">
        <f t="shared" si="26"/>
        <v>523.26</v>
      </c>
      <c r="P38" s="7">
        <f t="shared" si="27"/>
        <v>528.49260000000004</v>
      </c>
      <c r="Q38" s="7">
        <f t="shared" si="28"/>
        <v>533.77752600000008</v>
      </c>
      <c r="R38" s="5"/>
      <c r="S38" s="7">
        <v>2099</v>
      </c>
      <c r="T38" s="7">
        <v>2059</v>
      </c>
      <c r="U38" s="7">
        <v>2147</v>
      </c>
      <c r="V38" s="7">
        <f>U38*(1+V21)</f>
        <v>2189.94</v>
      </c>
      <c r="W38" s="7">
        <f t="shared" ref="W38:AA38" si="33">V38*(1+W21)</f>
        <v>2233.7388000000001</v>
      </c>
      <c r="X38" s="7">
        <f t="shared" si="33"/>
        <v>2278.4135759999999</v>
      </c>
      <c r="Y38" s="7">
        <f t="shared" si="33"/>
        <v>2323.98184752</v>
      </c>
      <c r="Z38" s="7">
        <f t="shared" si="33"/>
        <v>2370.4614844704001</v>
      </c>
      <c r="AA38" s="7">
        <f t="shared" si="33"/>
        <v>2417.8707141598084</v>
      </c>
    </row>
    <row r="39" spans="2:27">
      <c r="B39" s="12" t="s">
        <v>34</v>
      </c>
      <c r="C39" s="7">
        <v>36</v>
      </c>
      <c r="D39" s="7">
        <v>90</v>
      </c>
      <c r="E39">
        <v>56</v>
      </c>
      <c r="F39" s="3">
        <v>164</v>
      </c>
      <c r="G39" s="7">
        <v>24</v>
      </c>
      <c r="H39" s="7">
        <v>39</v>
      </c>
      <c r="I39" s="7">
        <v>212</v>
      </c>
      <c r="J39" s="7">
        <v>113</v>
      </c>
      <c r="K39" s="7">
        <v>63</v>
      </c>
      <c r="L39" s="7">
        <v>66</v>
      </c>
      <c r="M39" s="7">
        <v>116</v>
      </c>
      <c r="N39" s="7">
        <v>69</v>
      </c>
      <c r="O39" s="7">
        <f t="shared" si="26"/>
        <v>70.38</v>
      </c>
      <c r="P39" s="7">
        <f t="shared" si="27"/>
        <v>71.083799999999997</v>
      </c>
      <c r="Q39" s="7">
        <f t="shared" si="28"/>
        <v>71.794637999999992</v>
      </c>
      <c r="R39" s="5"/>
      <c r="S39" s="7">
        <v>207</v>
      </c>
      <c r="T39" s="7">
        <v>-84</v>
      </c>
      <c r="U39" s="7">
        <v>438</v>
      </c>
      <c r="V39" s="7">
        <f>AVERAGE(L39:N39)</f>
        <v>83.666666666666671</v>
      </c>
      <c r="W39" s="7">
        <f t="shared" ref="W39:AA39" si="34">AVERAGE(M39:O39)</f>
        <v>85.126666666666665</v>
      </c>
      <c r="X39" s="7">
        <f t="shared" si="34"/>
        <v>70.154600000000002</v>
      </c>
      <c r="Y39" s="7">
        <f t="shared" si="34"/>
        <v>71.086145999999999</v>
      </c>
      <c r="Z39" s="7">
        <f t="shared" si="34"/>
        <v>71.439218999999994</v>
      </c>
      <c r="AA39" s="7">
        <f t="shared" si="34"/>
        <v>139.39731899999998</v>
      </c>
    </row>
    <row r="40" spans="2:27">
      <c r="B40" s="13" t="s">
        <v>25</v>
      </c>
      <c r="C40" s="8">
        <f t="shared" ref="C40:G40" si="35">SUM(C33:C39)</f>
        <v>2106</v>
      </c>
      <c r="D40" s="8">
        <f t="shared" si="35"/>
        <v>2504</v>
      </c>
      <c r="E40" s="31">
        <f t="shared" si="35"/>
        <v>2132</v>
      </c>
      <c r="F40" s="31">
        <f>SUM(F33:F39)</f>
        <v>2533</v>
      </c>
      <c r="G40" s="8">
        <f t="shared" si="35"/>
        <v>2708</v>
      </c>
      <c r="H40" s="8">
        <f t="shared" ref="H40:M40" si="36">SUM(H33:H39)</f>
        <v>2907</v>
      </c>
      <c r="I40" s="8">
        <f t="shared" si="36"/>
        <v>3192</v>
      </c>
      <c r="J40" s="8">
        <f t="shared" si="36"/>
        <v>3255</v>
      </c>
      <c r="K40" s="8">
        <f t="shared" si="36"/>
        <v>3085</v>
      </c>
      <c r="L40" s="8">
        <f t="shared" si="36"/>
        <v>5142</v>
      </c>
      <c r="M40" s="8">
        <f t="shared" si="36"/>
        <v>5635</v>
      </c>
      <c r="N40" s="8">
        <f>SUM(N33:N39)</f>
        <v>5758</v>
      </c>
      <c r="O40" s="8">
        <f>SUM(O33:O39)</f>
        <v>5817.5565999999999</v>
      </c>
      <c r="P40" s="8">
        <f>SUM(P33:P39)</f>
        <v>5716.6381659999988</v>
      </c>
      <c r="Q40" s="8">
        <f>SUM(Q33:Q39)</f>
        <v>5566.9823476600004</v>
      </c>
      <c r="R40" s="5"/>
      <c r="S40" s="8">
        <f>SUM(S33:S39)</f>
        <v>23681</v>
      </c>
      <c r="T40" s="8">
        <f>SUM(T33:T39)</f>
        <v>24743</v>
      </c>
      <c r="U40" s="8">
        <f>SUM(U33:U39)</f>
        <v>26472</v>
      </c>
      <c r="V40" s="8">
        <f>SUM(V33:V39)</f>
        <v>26019.585359914865</v>
      </c>
      <c r="W40" s="8">
        <f t="shared" ref="W40:AA40" si="37">SUM(W33:W39)</f>
        <v>27861.951011565689</v>
      </c>
      <c r="X40" s="8">
        <f t="shared" si="37"/>
        <v>29929.435171258203</v>
      </c>
      <c r="Y40" s="8">
        <f t="shared" si="37"/>
        <v>32277.429562282716</v>
      </c>
      <c r="Z40" s="8">
        <f t="shared" si="37"/>
        <v>34940.207743677165</v>
      </c>
      <c r="AA40" s="8">
        <f t="shared" si="37"/>
        <v>38039.572762169184</v>
      </c>
    </row>
    <row r="41" spans="2:27">
      <c r="B41" s="13" t="s">
        <v>141</v>
      </c>
      <c r="C41" s="8">
        <f t="shared" ref="C41:G41" si="38">C32-C40</f>
        <v>4377</v>
      </c>
      <c r="D41" s="8">
        <f t="shared" si="38"/>
        <v>4302</v>
      </c>
      <c r="E41" s="31">
        <f t="shared" si="38"/>
        <v>4714</v>
      </c>
      <c r="F41" s="31">
        <f>F32-F40</f>
        <v>4507</v>
      </c>
      <c r="G41" s="8">
        <f t="shared" si="38"/>
        <v>4579</v>
      </c>
      <c r="H41" s="8">
        <f t="shared" ref="H41:M41" si="39">H32-H40</f>
        <v>4511</v>
      </c>
      <c r="I41" s="8">
        <f t="shared" si="39"/>
        <v>4507</v>
      </c>
      <c r="J41" s="8">
        <f t="shared" si="39"/>
        <v>4630</v>
      </c>
      <c r="K41" s="8">
        <f t="shared" si="39"/>
        <v>4762</v>
      </c>
      <c r="L41" s="8">
        <f t="shared" si="39"/>
        <v>2649</v>
      </c>
      <c r="M41" s="8">
        <f t="shared" si="39"/>
        <v>2593</v>
      </c>
      <c r="N41" s="8">
        <f>N32-N40</f>
        <v>2659</v>
      </c>
      <c r="O41" s="8">
        <f>O32-O40</f>
        <v>2767.7834000000003</v>
      </c>
      <c r="P41" s="8">
        <f>P32-P40</f>
        <v>2954.5552340000013</v>
      </c>
      <c r="Q41" s="8">
        <f>Q32-Q40</f>
        <v>3190.9229863400005</v>
      </c>
      <c r="R41" s="5"/>
      <c r="S41" s="8">
        <f>S32-S40</f>
        <v>3837</v>
      </c>
      <c r="T41" s="8">
        <f>T32-T40</f>
        <v>5028</v>
      </c>
      <c r="U41" s="8">
        <f>U32-U40</f>
        <v>5325</v>
      </c>
      <c r="V41" s="8">
        <f>V32-V40</f>
        <v>8003.2046400851359</v>
      </c>
      <c r="W41" s="8">
        <f t="shared" ref="W41:AA41" si="40">W32-W40</f>
        <v>8542.4342884343132</v>
      </c>
      <c r="X41" s="8">
        <f t="shared" si="40"/>
        <v>9023.2570997418043</v>
      </c>
      <c r="Y41" s="8">
        <f t="shared" si="40"/>
        <v>9401.9511676872971</v>
      </c>
      <c r="Z41" s="8">
        <f t="shared" si="40"/>
        <v>9656.729637390752</v>
      </c>
      <c r="AA41" s="8">
        <f t="shared" si="40"/>
        <v>9679.150235573492</v>
      </c>
    </row>
    <row r="42" spans="2:27">
      <c r="B42" s="12" t="s">
        <v>27</v>
      </c>
      <c r="C42" s="7">
        <v>-82</v>
      </c>
      <c r="D42" s="7">
        <v>-715</v>
      </c>
      <c r="E42">
        <v>460</v>
      </c>
      <c r="F42">
        <v>75</v>
      </c>
      <c r="G42" s="5">
        <v>170</v>
      </c>
      <c r="H42" s="5">
        <v>73</v>
      </c>
      <c r="I42" s="5">
        <v>41</v>
      </c>
      <c r="J42" s="5">
        <v>74</v>
      </c>
      <c r="K42" s="5">
        <v>-80</v>
      </c>
      <c r="L42" s="5">
        <v>73</v>
      </c>
      <c r="M42" s="5">
        <v>25</v>
      </c>
      <c r="N42" s="5">
        <v>13</v>
      </c>
      <c r="O42" s="7">
        <f t="shared" ref="O42" si="41">N42*(1+0.02)</f>
        <v>13.26</v>
      </c>
      <c r="P42" s="7">
        <f t="shared" ref="P42" si="42">O42*(1+0.02)</f>
        <v>13.5252</v>
      </c>
      <c r="Q42" s="7">
        <f t="shared" ref="Q42" si="43">P42*(1+0.02)</f>
        <v>13.795704000000001</v>
      </c>
      <c r="R42" s="5"/>
      <c r="S42" s="7">
        <v>-471</v>
      </c>
      <c r="T42" s="7">
        <v>383</v>
      </c>
      <c r="U42" s="7">
        <v>4</v>
      </c>
      <c r="V42" s="7">
        <f>AVERAGE(L$42:$N$42)</f>
        <v>37</v>
      </c>
      <c r="W42" s="7">
        <f>AVERAGE(M$42:$N$42)</f>
        <v>19</v>
      </c>
      <c r="X42" s="7">
        <f>AVERAGE(N$42:$N$42)</f>
        <v>13</v>
      </c>
      <c r="Y42" s="7">
        <f>AVERAGE($N$42:O$42)</f>
        <v>13.129999999999999</v>
      </c>
      <c r="Z42" s="7">
        <f>AVERAGE($N$42:P$42)</f>
        <v>13.261733333333332</v>
      </c>
      <c r="AA42" s="7">
        <f>AVERAGE($N$42:Q$42)</f>
        <v>13.395225999999999</v>
      </c>
    </row>
    <row r="43" spans="2:27">
      <c r="B43" s="13" t="s">
        <v>151</v>
      </c>
      <c r="C43" s="8">
        <f t="shared" ref="C43:G43" si="44">C41+C42</f>
        <v>4295</v>
      </c>
      <c r="D43" s="8">
        <f t="shared" si="44"/>
        <v>3587</v>
      </c>
      <c r="E43" s="31">
        <f t="shared" si="44"/>
        <v>5174</v>
      </c>
      <c r="F43" s="31">
        <f t="shared" si="44"/>
        <v>4582</v>
      </c>
      <c r="G43" s="8">
        <f t="shared" si="44"/>
        <v>4749</v>
      </c>
      <c r="H43" s="8">
        <f t="shared" ref="H43:M43" si="45">H41+H42</f>
        <v>4584</v>
      </c>
      <c r="I43" s="8">
        <f t="shared" si="45"/>
        <v>4548</v>
      </c>
      <c r="J43" s="8">
        <f t="shared" si="45"/>
        <v>4704</v>
      </c>
      <c r="K43" s="8">
        <f t="shared" si="45"/>
        <v>4682</v>
      </c>
      <c r="L43" s="8">
        <f t="shared" si="45"/>
        <v>2722</v>
      </c>
      <c r="M43" s="8">
        <f t="shared" si="45"/>
        <v>2618</v>
      </c>
      <c r="N43" s="8">
        <f>N41+N42</f>
        <v>2672</v>
      </c>
      <c r="O43" s="8">
        <f>O41+O42</f>
        <v>2781.0434000000005</v>
      </c>
      <c r="P43" s="8">
        <f t="shared" ref="P43:Q43" si="46">P41+P42</f>
        <v>2968.0804340000013</v>
      </c>
      <c r="Q43" s="8">
        <f t="shared" si="46"/>
        <v>3204.7186903400006</v>
      </c>
      <c r="R43" s="5"/>
      <c r="S43" s="8">
        <f>S41+S42</f>
        <v>3366</v>
      </c>
      <c r="T43" s="8">
        <f>T41+T42</f>
        <v>5411</v>
      </c>
      <c r="U43" s="8">
        <f>U41+U42</f>
        <v>5329</v>
      </c>
      <c r="V43" s="8">
        <f>V41+V42</f>
        <v>8040.2046400851359</v>
      </c>
      <c r="W43" s="8">
        <f t="shared" ref="W43:AA43" si="47">W41+W42</f>
        <v>8561.4342884343132</v>
      </c>
      <c r="X43" s="8">
        <f t="shared" si="47"/>
        <v>9036.2570997418043</v>
      </c>
      <c r="Y43" s="8">
        <f t="shared" si="47"/>
        <v>9415.0811676872963</v>
      </c>
      <c r="Z43" s="8">
        <f t="shared" si="47"/>
        <v>9669.9913707240848</v>
      </c>
      <c r="AA43" s="8">
        <f t="shared" si="47"/>
        <v>9692.5454615734925</v>
      </c>
    </row>
    <row r="44" spans="2:27">
      <c r="B44" s="12" t="s">
        <v>153</v>
      </c>
      <c r="C44" s="7">
        <v>120</v>
      </c>
      <c r="D44" s="7">
        <v>390</v>
      </c>
      <c r="E44">
        <v>248</v>
      </c>
      <c r="F44">
        <v>279</v>
      </c>
      <c r="G44" s="5">
        <v>274</v>
      </c>
      <c r="H44" s="5">
        <v>221</v>
      </c>
      <c r="I44" s="5">
        <v>321</v>
      </c>
      <c r="J44" s="5">
        <v>271</v>
      </c>
      <c r="K44" s="5">
        <v>301</v>
      </c>
      <c r="L44" s="5">
        <v>316</v>
      </c>
      <c r="M44" s="5">
        <v>268</v>
      </c>
      <c r="N44" s="5">
        <v>285</v>
      </c>
      <c r="O44" s="7">
        <f>O43*0.1</f>
        <v>278.10434000000004</v>
      </c>
      <c r="P44" s="7">
        <f t="shared" ref="P44:Q44" si="48">P43*0.1</f>
        <v>296.80804340000014</v>
      </c>
      <c r="Q44" s="7">
        <f t="shared" si="48"/>
        <v>320.47186903400006</v>
      </c>
      <c r="R44" s="5"/>
      <c r="S44" s="7">
        <v>947</v>
      </c>
      <c r="T44" s="7">
        <v>1165</v>
      </c>
      <c r="U44" s="7">
        <v>1182</v>
      </c>
      <c r="V44" s="7">
        <f>AVERAGE($L$44:$N$44)</f>
        <v>289.66666666666669</v>
      </c>
      <c r="W44" s="7">
        <f t="shared" ref="W44:AA44" si="49">AVERAGE($L$44:$N$44)</f>
        <v>289.66666666666669</v>
      </c>
      <c r="X44" s="7">
        <f t="shared" si="49"/>
        <v>289.66666666666669</v>
      </c>
      <c r="Y44" s="7">
        <f t="shared" si="49"/>
        <v>289.66666666666669</v>
      </c>
      <c r="Z44" s="7">
        <f t="shared" si="49"/>
        <v>289.66666666666669</v>
      </c>
      <c r="AA44" s="7">
        <f t="shared" si="49"/>
        <v>289.66666666666669</v>
      </c>
    </row>
    <row r="45" spans="2:27">
      <c r="B45" s="14" t="s">
        <v>28</v>
      </c>
      <c r="C45" s="10">
        <f t="shared" ref="C45:G45" si="50">C43-C44</f>
        <v>4175</v>
      </c>
      <c r="D45" s="10">
        <f t="shared" si="50"/>
        <v>3197</v>
      </c>
      <c r="E45" s="10">
        <f t="shared" si="50"/>
        <v>4926</v>
      </c>
      <c r="F45" s="10">
        <f t="shared" si="50"/>
        <v>4303</v>
      </c>
      <c r="G45" s="10">
        <f t="shared" si="50"/>
        <v>4475</v>
      </c>
      <c r="H45" s="10">
        <f t="shared" ref="H45:M45" si="51">H43-H44</f>
        <v>4363</v>
      </c>
      <c r="I45" s="10">
        <f t="shared" si="51"/>
        <v>4227</v>
      </c>
      <c r="J45" s="10">
        <f t="shared" si="51"/>
        <v>4433</v>
      </c>
      <c r="K45" s="10">
        <f t="shared" si="51"/>
        <v>4381</v>
      </c>
      <c r="L45" s="10">
        <f t="shared" si="51"/>
        <v>2406</v>
      </c>
      <c r="M45" s="10">
        <f t="shared" si="51"/>
        <v>2350</v>
      </c>
      <c r="N45" s="10">
        <f>N43-N44</f>
        <v>2387</v>
      </c>
      <c r="O45" s="10">
        <f>O43-O44</f>
        <v>2502.9390600000006</v>
      </c>
      <c r="P45" s="10">
        <f t="shared" ref="P45:Q45" si="52">P43-P44</f>
        <v>2671.272390600001</v>
      </c>
      <c r="Q45" s="10">
        <f t="shared" si="52"/>
        <v>2884.2468213060006</v>
      </c>
      <c r="R45" s="9"/>
      <c r="S45" s="10">
        <f>S43-S44</f>
        <v>2419</v>
      </c>
      <c r="T45" s="10">
        <f>T43-T44</f>
        <v>4246</v>
      </c>
      <c r="U45" s="10">
        <f>U43-U44</f>
        <v>4147</v>
      </c>
      <c r="V45" s="10">
        <f>V43-V44</f>
        <v>7750.5379734184689</v>
      </c>
      <c r="W45" s="10">
        <f t="shared" ref="W45:AA45" si="53">W43-W44</f>
        <v>8271.7676217676471</v>
      </c>
      <c r="X45" s="10">
        <f t="shared" si="53"/>
        <v>8746.5904330751382</v>
      </c>
      <c r="Y45" s="10">
        <f t="shared" si="53"/>
        <v>9125.4145010206303</v>
      </c>
      <c r="Z45" s="10">
        <f t="shared" si="53"/>
        <v>9380.3247040574188</v>
      </c>
      <c r="AA45" s="10">
        <f t="shared" si="53"/>
        <v>9402.8787949068264</v>
      </c>
    </row>
    <row r="46" spans="2:27">
      <c r="B46" s="12"/>
      <c r="C46" s="12"/>
      <c r="D46" s="12"/>
      <c r="E46" s="12"/>
      <c r="F46" s="12"/>
      <c r="G46" s="12"/>
      <c r="H46" s="5"/>
      <c r="I46" s="5"/>
      <c r="J46" s="5"/>
      <c r="K46" s="5"/>
      <c r="L46" s="5"/>
      <c r="M46" s="5"/>
      <c r="N46" s="5"/>
      <c r="O46" s="5"/>
      <c r="P46" s="5"/>
      <c r="Q46" s="5"/>
      <c r="R46" s="5"/>
      <c r="S46" s="5"/>
      <c r="T46" s="5"/>
      <c r="U46" s="5"/>
      <c r="V46" s="5"/>
      <c r="AA46" t="s">
        <v>155</v>
      </c>
    </row>
    <row r="47" spans="2:27">
      <c r="B47" s="13" t="s">
        <v>66</v>
      </c>
      <c r="C47" s="5">
        <v>1172</v>
      </c>
      <c r="D47" s="5">
        <v>1158</v>
      </c>
      <c r="E47" s="5">
        <v>1154</v>
      </c>
      <c r="F47" s="5">
        <v>1115</v>
      </c>
      <c r="G47" s="5">
        <v>1114</v>
      </c>
      <c r="H47" s="7"/>
      <c r="I47" s="7"/>
      <c r="J47" s="7"/>
      <c r="K47" s="7"/>
      <c r="L47" s="7"/>
      <c r="M47" s="7"/>
      <c r="N47" s="7"/>
      <c r="O47" s="7"/>
      <c r="P47" s="7"/>
      <c r="Q47" s="7"/>
      <c r="R47" s="7"/>
      <c r="S47" s="7"/>
      <c r="T47" s="7"/>
      <c r="U47" s="7">
        <v>989</v>
      </c>
      <c r="V47" s="7"/>
    </row>
    <row r="48" spans="2:27">
      <c r="B48" s="13" t="s">
        <v>42</v>
      </c>
      <c r="C48" s="23">
        <f>C45/C47</f>
        <v>3.5622866894197953</v>
      </c>
      <c r="D48" s="23">
        <f t="shared" ref="D48:U48" si="54">D45/D47</f>
        <v>2.7607944732297063</v>
      </c>
      <c r="E48" s="23">
        <f t="shared" si="54"/>
        <v>4.2686308492201039</v>
      </c>
      <c r="F48" s="23">
        <f t="shared" si="54"/>
        <v>3.8591928251121077</v>
      </c>
      <c r="G48" s="23">
        <f t="shared" si="54"/>
        <v>4.0170556552962298</v>
      </c>
      <c r="H48" s="23"/>
      <c r="I48" s="23"/>
      <c r="J48" s="23"/>
      <c r="K48" s="23"/>
      <c r="L48" s="23"/>
      <c r="M48" s="23"/>
      <c r="N48" s="23"/>
      <c r="O48" s="23"/>
      <c r="P48" s="23"/>
      <c r="Q48" s="23"/>
      <c r="R48" s="23"/>
      <c r="S48" s="23"/>
      <c r="T48" s="23"/>
      <c r="U48" s="23">
        <f t="shared" si="54"/>
        <v>4.1931243680485339</v>
      </c>
      <c r="V48" s="5"/>
    </row>
    <row r="49" spans="2:27">
      <c r="B49" s="13"/>
      <c r="C49" s="12"/>
      <c r="D49" s="12"/>
      <c r="E49" s="12"/>
      <c r="F49" s="12"/>
      <c r="G49" s="12"/>
      <c r="H49" s="5"/>
      <c r="I49" s="5"/>
      <c r="J49" s="5"/>
      <c r="K49" s="5"/>
      <c r="L49" s="5"/>
      <c r="M49" s="5"/>
      <c r="N49" s="5"/>
      <c r="O49" s="5"/>
      <c r="P49" s="5"/>
      <c r="Q49" s="5"/>
      <c r="R49" s="5"/>
      <c r="S49" s="5"/>
      <c r="T49" s="5"/>
      <c r="U49" s="5"/>
      <c r="V49" s="5"/>
      <c r="AA49" t="s">
        <v>155</v>
      </c>
    </row>
    <row r="50" spans="2:27" ht="23.25">
      <c r="B50" s="17" t="s">
        <v>159</v>
      </c>
      <c r="C50" s="6"/>
      <c r="D50" s="6"/>
      <c r="E50" s="6"/>
      <c r="F50" s="6"/>
      <c r="G50" s="6"/>
      <c r="H50" s="15"/>
      <c r="I50" s="15"/>
      <c r="J50" s="15"/>
      <c r="K50" s="15"/>
      <c r="L50" s="15"/>
      <c r="M50" s="15"/>
      <c r="N50" s="15"/>
      <c r="O50" s="5"/>
      <c r="P50" s="5"/>
      <c r="Q50" s="5"/>
      <c r="R50" s="5"/>
      <c r="S50" s="5"/>
      <c r="T50" s="5"/>
      <c r="U50" s="5"/>
      <c r="V50" s="5"/>
    </row>
    <row r="51" spans="2:27">
      <c r="B51" s="12"/>
      <c r="C51" s="12"/>
      <c r="D51" s="12"/>
      <c r="E51" s="12"/>
      <c r="F51" s="12"/>
      <c r="G51" s="12"/>
      <c r="H51" s="5"/>
      <c r="I51" s="5"/>
      <c r="J51" s="5"/>
      <c r="K51" s="5"/>
      <c r="L51" s="5"/>
      <c r="M51" s="5"/>
      <c r="N51" s="5"/>
      <c r="O51" s="5"/>
      <c r="P51" s="5"/>
      <c r="Q51" s="5"/>
      <c r="R51" s="5"/>
      <c r="S51" s="5"/>
      <c r="T51" s="5"/>
      <c r="U51" s="5"/>
      <c r="V51" s="5"/>
    </row>
    <row r="52" spans="2:27">
      <c r="B52" s="12" t="s">
        <v>35</v>
      </c>
      <c r="C52" s="11"/>
      <c r="D52" s="11">
        <f t="shared" ref="D52" si="55">(D32-C32)/C32</f>
        <v>4.9822612987814284E-2</v>
      </c>
      <c r="E52" s="11">
        <f t="shared" ref="E52" si="56">(E32-D32)/D32</f>
        <v>5.8771672054069935E-3</v>
      </c>
      <c r="F52" s="11">
        <f t="shared" ref="F52" si="57">(F32-E32)/E32</f>
        <v>2.833771545427987E-2</v>
      </c>
      <c r="G52" s="11">
        <f t="shared" ref="G52" si="58">(G32-F32)/F32</f>
        <v>3.5085227272727275E-2</v>
      </c>
      <c r="H52" s="11">
        <f t="shared" ref="H52" si="59">(H32-G32)/G32</f>
        <v>1.7977219706326333E-2</v>
      </c>
      <c r="I52" s="11">
        <f t="shared" ref="I52" si="60">(I32-H32)/H32</f>
        <v>3.7880830412510114E-2</v>
      </c>
      <c r="J52" s="11">
        <f t="shared" ref="J52:K52" si="61">(J32-I32)/I32</f>
        <v>2.4158981685933237E-2</v>
      </c>
      <c r="K52" s="11">
        <f t="shared" si="61"/>
        <v>-4.8192771084337354E-3</v>
      </c>
      <c r="L52" s="11">
        <f>(L32-K32)/K32</f>
        <v>-7.1364852809991082E-3</v>
      </c>
      <c r="M52" s="11">
        <f>(M32-L32)/L32</f>
        <v>5.6090360672570914E-2</v>
      </c>
      <c r="N52" s="11">
        <f>(N32-M32)/M32</f>
        <v>2.2970345162858532E-2</v>
      </c>
      <c r="O52" s="11"/>
      <c r="P52" s="11"/>
      <c r="Q52" s="11"/>
      <c r="R52" s="5"/>
      <c r="S52" s="11"/>
      <c r="T52" s="11">
        <f>(T32-S32)/S32</f>
        <v>8.1873682680427357E-2</v>
      </c>
      <c r="U52" s="11">
        <f>(U32-T32)/T32</f>
        <v>6.8052803063383835E-2</v>
      </c>
      <c r="V52" s="11">
        <f>(V32-U32)/U32</f>
        <v>7.0000000000000021E-2</v>
      </c>
    </row>
    <row r="53" spans="2:27">
      <c r="B53" s="12" t="s">
        <v>36</v>
      </c>
      <c r="C53" s="11"/>
      <c r="D53" s="11">
        <f t="shared" ref="D53:N53" si="62">(D38-C38)/C38</f>
        <v>-0.15321252059308071</v>
      </c>
      <c r="E53" s="11">
        <f t="shared" si="62"/>
        <v>-9.9221789883268477E-2</v>
      </c>
      <c r="F53" s="11">
        <f t="shared" si="62"/>
        <v>9.5032397408207347E-2</v>
      </c>
      <c r="G53" s="11">
        <f t="shared" si="62"/>
        <v>-3.1558185404339252E-2</v>
      </c>
      <c r="H53" s="11">
        <f t="shared" si="62"/>
        <v>3.2586558044806514E-2</v>
      </c>
      <c r="I53" s="11">
        <f t="shared" si="62"/>
        <v>-8.4812623274161739E-2</v>
      </c>
      <c r="J53" s="11">
        <f t="shared" si="62"/>
        <v>0.22844827586206898</v>
      </c>
      <c r="K53" s="11">
        <f t="shared" si="62"/>
        <v>-8.9473684210526316E-2</v>
      </c>
      <c r="L53" s="11">
        <f t="shared" si="62"/>
        <v>-3.0828516377649325E-2</v>
      </c>
      <c r="M53" s="11">
        <f t="shared" si="62"/>
        <v>-8.3499005964214709E-2</v>
      </c>
      <c r="N53" s="11">
        <f t="shared" si="62"/>
        <v>0.11279826464208242</v>
      </c>
      <c r="O53" s="11"/>
      <c r="P53" s="11"/>
      <c r="Q53" s="11"/>
      <c r="R53" s="5"/>
      <c r="S53" s="11"/>
      <c r="T53" s="11">
        <f>(T38-S38)/S38</f>
        <v>-1.9056693663649357E-2</v>
      </c>
      <c r="U53" s="11">
        <f>(U38-T38)/T38</f>
        <v>4.2739193783389993E-2</v>
      </c>
      <c r="V53" s="11"/>
    </row>
    <row r="54" spans="2:27">
      <c r="B54" s="12" t="s">
        <v>37</v>
      </c>
      <c r="C54" s="11"/>
      <c r="D54" s="11">
        <f t="shared" ref="D54:N54" si="63">(D36-C36)/C36</f>
        <v>-6.225165562913907E-2</v>
      </c>
      <c r="E54" s="11">
        <f t="shared" si="63"/>
        <v>6.991525423728813E-2</v>
      </c>
      <c r="F54" s="11">
        <f t="shared" si="63"/>
        <v>2.5742574257425741E-2</v>
      </c>
      <c r="G54" s="11">
        <f t="shared" si="63"/>
        <v>-4.5045045045045043E-2</v>
      </c>
      <c r="H54" s="11">
        <f t="shared" si="63"/>
        <v>-1.4824797843665768E-2</v>
      </c>
      <c r="I54" s="11">
        <f t="shared" si="63"/>
        <v>1.094391244870041E-2</v>
      </c>
      <c r="J54" s="11">
        <f t="shared" si="63"/>
        <v>-3.7889039242219216E-2</v>
      </c>
      <c r="K54" s="11">
        <f t="shared" si="63"/>
        <v>-4.2194092827004216E-3</v>
      </c>
      <c r="L54" s="11">
        <f t="shared" si="63"/>
        <v>-0.68361581920903958</v>
      </c>
      <c r="M54" s="11">
        <f t="shared" si="63"/>
        <v>-0.171875</v>
      </c>
      <c r="N54" s="11">
        <f t="shared" si="63"/>
        <v>0.13746630727762804</v>
      </c>
      <c r="O54" s="11"/>
      <c r="P54" s="11"/>
      <c r="Q54" s="11"/>
      <c r="R54" s="5"/>
      <c r="S54" s="11"/>
      <c r="T54" s="11">
        <f>(T36-S36)/S36</f>
        <v>-0.19849357554275587</v>
      </c>
      <c r="U54" s="11">
        <f>(U36-T36)/T36</f>
        <v>0.10613598673300166</v>
      </c>
      <c r="V54" s="11"/>
    </row>
    <row r="55" spans="2:27">
      <c r="B55" s="12" t="s">
        <v>38</v>
      </c>
      <c r="C55" s="11"/>
      <c r="D55" s="11">
        <f t="shared" ref="D55:N55" si="64">(D37-C37)/C37</f>
        <v>-4.6854082998661312E-2</v>
      </c>
      <c r="E55" s="11">
        <f t="shared" si="64"/>
        <v>3.3707865168539325E-2</v>
      </c>
      <c r="F55" s="11">
        <f t="shared" si="64"/>
        <v>8.2880434782608689E-2</v>
      </c>
      <c r="G55" s="11">
        <f t="shared" si="64"/>
        <v>-5.3952321204516936E-2</v>
      </c>
      <c r="H55" s="11">
        <f t="shared" si="64"/>
        <v>-7.161803713527852E-2</v>
      </c>
      <c r="I55" s="11">
        <f t="shared" si="64"/>
        <v>-2.8571428571428571E-3</v>
      </c>
      <c r="J55" s="11">
        <f t="shared" si="64"/>
        <v>3.0085959885386818E-2</v>
      </c>
      <c r="K55" s="11">
        <f t="shared" si="64"/>
        <v>-2.5034770514603615E-2</v>
      </c>
      <c r="L55" s="11">
        <f t="shared" si="64"/>
        <v>-1.7817403708987161</v>
      </c>
      <c r="M55" s="11">
        <f t="shared" si="64"/>
        <v>4.3795620437956206E-2</v>
      </c>
      <c r="N55" s="11">
        <f t="shared" si="64"/>
        <v>5.7692307692307696E-2</v>
      </c>
      <c r="O55" s="11"/>
      <c r="P55" s="11"/>
      <c r="Q55" s="11"/>
      <c r="R55" s="5"/>
      <c r="S55" s="5"/>
      <c r="T55" s="11">
        <f>(T37-S37)/S37</f>
        <v>-8.6074392868121727E-2</v>
      </c>
      <c r="U55" s="11">
        <f>(U37-T37)/T37</f>
        <v>2.0181634712411706E-3</v>
      </c>
      <c r="V55" s="11"/>
    </row>
    <row r="56" spans="2:27">
      <c r="B56" s="12" t="s">
        <v>154</v>
      </c>
      <c r="C56" s="11"/>
      <c r="D56" s="11">
        <f t="shared" ref="D56:N56" si="65">(D45-C45)/C45</f>
        <v>-0.23425149700598802</v>
      </c>
      <c r="E56" s="11">
        <f t="shared" si="65"/>
        <v>0.5408195182984048</v>
      </c>
      <c r="F56" s="11">
        <f t="shared" si="65"/>
        <v>-0.12647178237921233</v>
      </c>
      <c r="G56" s="11">
        <f t="shared" si="65"/>
        <v>3.9972112479665353E-2</v>
      </c>
      <c r="H56" s="11">
        <f t="shared" si="65"/>
        <v>-2.5027932960893853E-2</v>
      </c>
      <c r="I56" s="11">
        <f t="shared" si="65"/>
        <v>-3.1171212468484987E-2</v>
      </c>
      <c r="J56" s="11">
        <f t="shared" si="65"/>
        <v>4.8734326945824462E-2</v>
      </c>
      <c r="K56" s="11">
        <f t="shared" si="65"/>
        <v>-1.1730205278592375E-2</v>
      </c>
      <c r="L56" s="11">
        <f t="shared" si="65"/>
        <v>-0.45081031727915999</v>
      </c>
      <c r="M56" s="11">
        <f t="shared" si="65"/>
        <v>-2.3275145469659187E-2</v>
      </c>
      <c r="N56" s="11">
        <f t="shared" si="65"/>
        <v>1.5744680851063831E-2</v>
      </c>
      <c r="O56" s="11"/>
      <c r="P56" s="11"/>
      <c r="Q56" s="11"/>
      <c r="R56" s="5"/>
      <c r="S56" s="5"/>
      <c r="T56" s="11">
        <f>(T45-S45)/S45</f>
        <v>0.75527077304671353</v>
      </c>
      <c r="U56" s="11">
        <f>(U45-T45)/T45</f>
        <v>-2.3316062176165803E-2</v>
      </c>
      <c r="V56" s="11">
        <f>(V45-U45)/U45</f>
        <v>0.86895056026488282</v>
      </c>
    </row>
    <row r="57" spans="2:27">
      <c r="B57" s="12"/>
      <c r="C57" s="11"/>
      <c r="D57" s="11"/>
      <c r="E57" s="11"/>
      <c r="F57" s="11"/>
      <c r="G57" s="11"/>
      <c r="H57" s="11"/>
      <c r="I57" s="11"/>
      <c r="J57" s="11"/>
      <c r="K57" s="11"/>
      <c r="L57" s="11"/>
      <c r="M57" s="11"/>
      <c r="N57" s="11"/>
      <c r="O57" s="11"/>
      <c r="P57" s="11"/>
      <c r="Q57" s="11"/>
      <c r="R57" s="5"/>
      <c r="S57" s="5"/>
      <c r="T57" s="11"/>
      <c r="U57" s="11"/>
      <c r="V57" s="11"/>
    </row>
    <row r="58" spans="2:27">
      <c r="B58" s="12" t="s">
        <v>40</v>
      </c>
      <c r="C58" s="11">
        <f t="shared" ref="C58:N58" si="66">C41/C32</f>
        <v>0.67515039333641835</v>
      </c>
      <c r="D58" s="11">
        <f t="shared" si="66"/>
        <v>0.63208933294152214</v>
      </c>
      <c r="E58" s="11">
        <f t="shared" si="66"/>
        <v>0.68857727139935732</v>
      </c>
      <c r="F58" s="11">
        <f t="shared" si="66"/>
        <v>0.64019886363636369</v>
      </c>
      <c r="G58" s="11">
        <f t="shared" si="66"/>
        <v>0.62837930561273503</v>
      </c>
      <c r="H58" s="11">
        <f t="shared" si="66"/>
        <v>0.6081153949851712</v>
      </c>
      <c r="I58" s="11">
        <f t="shared" si="66"/>
        <v>0.58540070138979083</v>
      </c>
      <c r="J58" s="11">
        <f t="shared" si="66"/>
        <v>0.58719086873811033</v>
      </c>
      <c r="K58" s="11">
        <f t="shared" si="66"/>
        <v>0.60685612335924555</v>
      </c>
      <c r="L58" s="11">
        <f t="shared" si="66"/>
        <v>0.34000770119368501</v>
      </c>
      <c r="M58" s="11">
        <f t="shared" si="66"/>
        <v>0.31514341273699564</v>
      </c>
      <c r="N58" s="11">
        <f t="shared" si="66"/>
        <v>0.31590828086016398</v>
      </c>
      <c r="O58" s="11"/>
      <c r="P58" s="11"/>
      <c r="Q58" s="11"/>
      <c r="R58" s="5"/>
      <c r="S58" s="11">
        <f>S41/S32</f>
        <v>0.13943600552365723</v>
      </c>
      <c r="T58" s="11">
        <f>T41/T32</f>
        <v>0.16888918746431092</v>
      </c>
      <c r="U58" s="11">
        <f>U41/U32</f>
        <v>0.16746862911595434</v>
      </c>
      <c r="V58" s="11"/>
    </row>
    <row r="59" spans="2:27">
      <c r="B59" s="12" t="s">
        <v>39</v>
      </c>
      <c r="C59" s="11">
        <f t="shared" ref="C59:N59" si="67">C45/C32</f>
        <v>0.64399197902205774</v>
      </c>
      <c r="D59" s="11">
        <f t="shared" si="67"/>
        <v>0.46973258889215397</v>
      </c>
      <c r="E59" s="11">
        <f t="shared" si="67"/>
        <v>0.71954425942156008</v>
      </c>
      <c r="F59" s="11">
        <f t="shared" si="67"/>
        <v>0.61122159090909089</v>
      </c>
      <c r="G59" s="11">
        <f t="shared" si="67"/>
        <v>0.61410731439549882</v>
      </c>
      <c r="H59" s="11">
        <f t="shared" si="67"/>
        <v>0.5881639255864114</v>
      </c>
      <c r="I59" s="11">
        <f t="shared" si="67"/>
        <v>0.54903234186257954</v>
      </c>
      <c r="J59" s="11">
        <f t="shared" si="67"/>
        <v>0.5622067216233354</v>
      </c>
      <c r="K59" s="11">
        <f t="shared" si="67"/>
        <v>0.55830253600101953</v>
      </c>
      <c r="L59" s="11">
        <f t="shared" si="67"/>
        <v>0.30881786676934925</v>
      </c>
      <c r="M59" s="11">
        <f t="shared" si="67"/>
        <v>0.28561011181332036</v>
      </c>
      <c r="N59" s="11">
        <f t="shared" si="67"/>
        <v>0.28359272900083166</v>
      </c>
      <c r="O59" s="11"/>
      <c r="P59" s="11"/>
      <c r="Q59" s="11"/>
      <c r="R59" s="5"/>
      <c r="S59" s="11">
        <f>S45/S32</f>
        <v>8.7906097826876958E-2</v>
      </c>
      <c r="T59" s="11">
        <f>T45/T32</f>
        <v>0.14262201471230393</v>
      </c>
      <c r="U59" s="11">
        <f>U45/U32</f>
        <v>0.13042110890964556</v>
      </c>
      <c r="V59" s="11"/>
    </row>
    <row r="60" spans="2:27">
      <c r="B60" s="12" t="s">
        <v>278</v>
      </c>
      <c r="C60" s="11">
        <f>C33/C32</f>
        <v>0.43452105506709854</v>
      </c>
      <c r="D60" s="11">
        <f t="shared" ref="D60:N60" si="68">D33/D32</f>
        <v>0.44725242433147222</v>
      </c>
      <c r="E60" s="11">
        <f t="shared" si="68"/>
        <v>0.43645924627519722</v>
      </c>
      <c r="F60" s="11">
        <f t="shared" si="68"/>
        <v>0.46633522727272725</v>
      </c>
      <c r="G60" s="11">
        <f t="shared" si="68"/>
        <v>0.48593385480993551</v>
      </c>
      <c r="H60" s="11">
        <f t="shared" si="68"/>
        <v>0.48571043407926667</v>
      </c>
      <c r="I60" s="11">
        <f t="shared" si="68"/>
        <v>0.50876737238602421</v>
      </c>
      <c r="J60" s="11">
        <f t="shared" si="68"/>
        <v>0.49993658845909955</v>
      </c>
      <c r="K60" s="11">
        <f t="shared" si="68"/>
        <v>0.48948642793424241</v>
      </c>
      <c r="L60" s="11">
        <f t="shared" si="68"/>
        <v>0.47542035682197409</v>
      </c>
      <c r="M60" s="11">
        <f t="shared" si="68"/>
        <v>0.48225571220223629</v>
      </c>
      <c r="N60" s="11">
        <f t="shared" si="68"/>
        <v>0.48271355589877629</v>
      </c>
      <c r="O60" s="11"/>
      <c r="P60" s="11"/>
      <c r="Q60" s="11"/>
      <c r="R60" s="5"/>
      <c r="S60" s="11">
        <f t="shared" ref="S60:U60" si="69">S33/S32</f>
        <v>0.4423649974562105</v>
      </c>
      <c r="T60" s="11">
        <f t="shared" si="69"/>
        <v>0.48318833764401597</v>
      </c>
      <c r="U60" s="11">
        <f t="shared" si="69"/>
        <v>0.49366292417523666</v>
      </c>
      <c r="V60" s="11"/>
    </row>
    <row r="61" spans="2:27">
      <c r="B61" s="12"/>
      <c r="C61" s="12"/>
      <c r="D61" s="12"/>
      <c r="E61" s="12"/>
      <c r="F61" s="12"/>
      <c r="G61" s="12"/>
      <c r="H61" s="11"/>
      <c r="I61" s="11"/>
      <c r="J61" s="11"/>
      <c r="K61" s="11"/>
      <c r="L61" s="11"/>
      <c r="M61" s="11"/>
      <c r="N61" s="11"/>
      <c r="O61" s="11"/>
      <c r="P61" s="11"/>
      <c r="Q61" s="11"/>
      <c r="R61" s="5"/>
      <c r="S61" s="5"/>
      <c r="T61" s="11"/>
      <c r="U61" s="11"/>
      <c r="V61" s="11"/>
    </row>
    <row r="62" spans="2:27">
      <c r="B62" s="12" t="s">
        <v>43</v>
      </c>
      <c r="C62" s="4">
        <f t="shared" ref="C62:N62" si="70">C33/C32</f>
        <v>0.43452105506709854</v>
      </c>
      <c r="D62" s="4">
        <f t="shared" si="70"/>
        <v>0.44725242433147222</v>
      </c>
      <c r="E62" s="4">
        <f t="shared" si="70"/>
        <v>0.43645924627519722</v>
      </c>
      <c r="F62" s="4">
        <f t="shared" si="70"/>
        <v>0.46633522727272725</v>
      </c>
      <c r="G62" s="4">
        <f t="shared" si="70"/>
        <v>0.48593385480993551</v>
      </c>
      <c r="H62" s="4">
        <f t="shared" si="70"/>
        <v>0.48571043407926667</v>
      </c>
      <c r="I62" s="4">
        <f t="shared" si="70"/>
        <v>0.50876737238602421</v>
      </c>
      <c r="J62" s="4">
        <f t="shared" si="70"/>
        <v>0.49993658845909955</v>
      </c>
      <c r="K62" s="4">
        <f t="shared" si="70"/>
        <v>0.48948642793424241</v>
      </c>
      <c r="L62" s="4">
        <f t="shared" si="70"/>
        <v>0.47542035682197409</v>
      </c>
      <c r="M62" s="4">
        <f t="shared" si="70"/>
        <v>0.48225571220223629</v>
      </c>
      <c r="N62" s="4">
        <f t="shared" si="70"/>
        <v>0.48271355589877629</v>
      </c>
      <c r="O62" s="4"/>
      <c r="P62" s="4"/>
      <c r="Q62" s="4"/>
      <c r="S62" s="4">
        <f>S33/S32</f>
        <v>0.4423649974562105</v>
      </c>
      <c r="T62" s="4">
        <f>T33/T32</f>
        <v>0.48318833764401597</v>
      </c>
      <c r="U62" s="4">
        <f>U33/U32</f>
        <v>0.49366292417523666</v>
      </c>
      <c r="V62" s="4"/>
    </row>
    <row r="63" spans="2:27">
      <c r="B63" s="12" t="s">
        <v>49</v>
      </c>
      <c r="C63" s="4">
        <f t="shared" ref="C63:N63" si="71">C44/C43</f>
        <v>2.7939464493597205E-2</v>
      </c>
      <c r="D63" s="4">
        <f t="shared" si="71"/>
        <v>0.10872595483691107</v>
      </c>
      <c r="E63" s="4">
        <f t="shared" si="71"/>
        <v>4.793196752995748E-2</v>
      </c>
      <c r="F63" s="4">
        <f t="shared" si="71"/>
        <v>6.0890440855521609E-2</v>
      </c>
      <c r="G63" s="4">
        <f t="shared" si="71"/>
        <v>5.7696357127816379E-2</v>
      </c>
      <c r="H63" s="4">
        <f t="shared" si="71"/>
        <v>4.8211169284467711E-2</v>
      </c>
      <c r="I63" s="4">
        <f t="shared" si="71"/>
        <v>7.0580474934036935E-2</v>
      </c>
      <c r="J63" s="4">
        <f t="shared" si="71"/>
        <v>5.7610544217687076E-2</v>
      </c>
      <c r="K63" s="4">
        <f t="shared" si="71"/>
        <v>6.4288765484835544E-2</v>
      </c>
      <c r="L63" s="4">
        <f t="shared" si="71"/>
        <v>0.11609110947832477</v>
      </c>
      <c r="M63" s="4">
        <f t="shared" si="71"/>
        <v>0.10236822001527884</v>
      </c>
      <c r="N63" s="4">
        <f t="shared" si="71"/>
        <v>0.10666167664670659</v>
      </c>
      <c r="O63" s="4"/>
      <c r="P63" s="4"/>
      <c r="Q63" s="4"/>
      <c r="R63" s="4"/>
      <c r="S63" s="4">
        <f>S44/S43</f>
        <v>0.28134284016636957</v>
      </c>
      <c r="T63" s="4">
        <f>T44/T43</f>
        <v>0.21530216226205878</v>
      </c>
      <c r="U63" s="4">
        <f>U44/U43</f>
        <v>0.22180521673860012</v>
      </c>
    </row>
    <row r="65" spans="2:21">
      <c r="B65" s="12" t="s">
        <v>139</v>
      </c>
      <c r="T65">
        <f>(T43*T63)/(T95+T102)</f>
        <v>3.7914537702997367E-2</v>
      </c>
      <c r="U65">
        <f>(U43*U63)/(U95+U102)</f>
        <v>3.9015051491946132E-2</v>
      </c>
    </row>
    <row r="66" spans="2:21">
      <c r="B66" s="12" t="s">
        <v>322</v>
      </c>
      <c r="U66" s="4">
        <f>(U100-T100)/T100</f>
        <v>0.17874999999999999</v>
      </c>
    </row>
    <row r="68" spans="2:21" ht="23.25">
      <c r="B68" s="17" t="s">
        <v>67</v>
      </c>
      <c r="C68" s="17"/>
      <c r="D68" s="17"/>
      <c r="E68" s="17"/>
      <c r="F68" s="17"/>
      <c r="G68" s="17"/>
      <c r="H68" s="17"/>
      <c r="I68" s="17"/>
      <c r="J68" s="17"/>
      <c r="K68" s="18"/>
      <c r="L68" s="18"/>
      <c r="M68" s="18"/>
      <c r="N68" s="18"/>
      <c r="O68" s="18"/>
      <c r="P68" s="18"/>
      <c r="Q68" s="18"/>
      <c r="R68" s="18"/>
      <c r="S68" s="18"/>
      <c r="T68" s="18"/>
      <c r="U68" s="18"/>
    </row>
    <row r="69" spans="2:21">
      <c r="B69" t="s">
        <v>68</v>
      </c>
      <c r="C69" s="34" t="s">
        <v>142</v>
      </c>
      <c r="D69" s="34" t="s">
        <v>143</v>
      </c>
      <c r="E69" s="34" t="s">
        <v>144</v>
      </c>
      <c r="F69" s="34" t="s">
        <v>149</v>
      </c>
      <c r="G69" s="34" t="s">
        <v>148</v>
      </c>
      <c r="H69" s="21" t="s">
        <v>52</v>
      </c>
      <c r="I69" s="21" t="s">
        <v>51</v>
      </c>
      <c r="J69" s="21" t="s">
        <v>47</v>
      </c>
      <c r="K69" s="21" t="s">
        <v>26</v>
      </c>
      <c r="L69" s="21" t="s">
        <v>46</v>
      </c>
      <c r="M69" s="21" t="s">
        <v>50</v>
      </c>
      <c r="N69" s="21" t="s">
        <v>48</v>
      </c>
      <c r="O69" s="21"/>
      <c r="P69" s="21"/>
      <c r="Q69" s="21"/>
      <c r="R69" s="21"/>
      <c r="S69" s="22">
        <v>44926</v>
      </c>
      <c r="T69" s="22">
        <f>EOMONTH(S69,12)</f>
        <v>45291</v>
      </c>
      <c r="U69" s="22">
        <f>EOMONTH(T69,12)</f>
        <v>45657</v>
      </c>
    </row>
    <row r="71" spans="2:21">
      <c r="B71" t="s">
        <v>69</v>
      </c>
      <c r="T71" s="7">
        <v>9081</v>
      </c>
      <c r="U71" s="7">
        <v>6561</v>
      </c>
    </row>
    <row r="72" spans="2:21">
      <c r="B72" t="s">
        <v>70</v>
      </c>
      <c r="T72" s="7">
        <v>4979</v>
      </c>
      <c r="U72" s="7">
        <v>4262</v>
      </c>
    </row>
    <row r="73" spans="2:21">
      <c r="B73" t="s">
        <v>71</v>
      </c>
      <c r="T73" s="7">
        <v>1069</v>
      </c>
      <c r="U73" s="7">
        <v>984</v>
      </c>
    </row>
    <row r="74" spans="2:21">
      <c r="B74" t="s">
        <v>72</v>
      </c>
      <c r="T74" s="7">
        <v>563</v>
      </c>
      <c r="U74" s="7">
        <v>541</v>
      </c>
    </row>
    <row r="75" spans="2:21" ht="30">
      <c r="B75" s="32" t="s">
        <v>73</v>
      </c>
      <c r="T75" s="7">
        <v>5433</v>
      </c>
      <c r="U75" s="7">
        <v>6422</v>
      </c>
    </row>
    <row r="76" spans="2:21">
      <c r="B76" t="s">
        <v>74</v>
      </c>
      <c r="T76" s="7">
        <v>38935</v>
      </c>
      <c r="U76" s="7">
        <v>37671</v>
      </c>
    </row>
    <row r="77" spans="2:21">
      <c r="B77" t="s">
        <v>75</v>
      </c>
      <c r="T77" s="7">
        <v>2509</v>
      </c>
      <c r="U77" s="7">
        <v>4651</v>
      </c>
    </row>
    <row r="78" spans="2:21">
      <c r="B78" s="26" t="s">
        <v>76</v>
      </c>
      <c r="D78" s="8"/>
      <c r="T78" s="8">
        <f>SUM(T71:T77)</f>
        <v>62569</v>
      </c>
      <c r="U78" s="8">
        <f>SUM(U71:U77)</f>
        <v>61092</v>
      </c>
    </row>
    <row r="79" spans="2:21">
      <c r="T79" s="7"/>
      <c r="U79" s="7"/>
    </row>
    <row r="80" spans="2:21">
      <c r="B80" t="s">
        <v>77</v>
      </c>
      <c r="T80" s="7">
        <v>3273</v>
      </c>
      <c r="U80" s="7">
        <v>4583</v>
      </c>
    </row>
    <row r="81" spans="2:22">
      <c r="B81" t="s">
        <v>78</v>
      </c>
      <c r="T81" s="7">
        <v>1488</v>
      </c>
      <c r="U81" s="7">
        <v>1508</v>
      </c>
    </row>
    <row r="82" spans="2:22">
      <c r="B82" t="s">
        <v>79</v>
      </c>
      <c r="T82" s="7">
        <v>11026</v>
      </c>
      <c r="U82" s="7">
        <v>10837</v>
      </c>
    </row>
    <row r="83" spans="2:22">
      <c r="B83" t="s">
        <v>80</v>
      </c>
      <c r="T83" s="7">
        <v>537</v>
      </c>
      <c r="U83" s="7">
        <v>326</v>
      </c>
    </row>
    <row r="84" spans="2:22">
      <c r="B84" t="s">
        <v>81</v>
      </c>
      <c r="T84" s="7">
        <v>3273</v>
      </c>
      <c r="U84" s="7">
        <v>3265</v>
      </c>
    </row>
    <row r="85" spans="2:22">
      <c r="B85" s="25" t="s">
        <v>83</v>
      </c>
      <c r="C85" s="24"/>
      <c r="D85" s="10"/>
      <c r="E85" s="24"/>
      <c r="F85" s="24"/>
      <c r="G85" s="24"/>
      <c r="H85" s="24"/>
      <c r="I85" s="24"/>
      <c r="J85" s="24"/>
      <c r="K85" s="24"/>
      <c r="L85" s="24"/>
      <c r="M85" s="24"/>
      <c r="N85" s="24"/>
      <c r="O85" s="24"/>
      <c r="P85" s="24"/>
      <c r="Q85" s="24"/>
      <c r="R85" s="24"/>
      <c r="S85" s="24"/>
      <c r="T85" s="10">
        <f>T78+SUM(T80:T84)</f>
        <v>82166</v>
      </c>
      <c r="U85" s="10">
        <f>U78+SUM(U80:U84)</f>
        <v>81611</v>
      </c>
    </row>
    <row r="87" spans="2:22">
      <c r="B87" t="s">
        <v>91</v>
      </c>
    </row>
    <row r="89" spans="2:22">
      <c r="B89" t="s">
        <v>84</v>
      </c>
      <c r="T89" s="7">
        <v>139</v>
      </c>
      <c r="U89" s="7">
        <v>227</v>
      </c>
    </row>
    <row r="90" spans="2:22">
      <c r="B90" t="s">
        <v>85</v>
      </c>
      <c r="T90" s="7">
        <v>41935</v>
      </c>
      <c r="U90" s="7">
        <v>39671</v>
      </c>
    </row>
    <row r="91" spans="2:22">
      <c r="B91" t="s">
        <v>86</v>
      </c>
      <c r="T91" s="7">
        <v>6392</v>
      </c>
      <c r="U91" s="7">
        <v>8478</v>
      </c>
    </row>
    <row r="92" spans="2:22">
      <c r="B92" s="27" t="s">
        <v>87</v>
      </c>
      <c r="T92" s="7">
        <f>SUM(T89:T91)</f>
        <v>48466</v>
      </c>
      <c r="U92" s="7">
        <f>SUM(U89:U91)</f>
        <v>48376</v>
      </c>
    </row>
    <row r="93" spans="2:22">
      <c r="T93" s="7"/>
      <c r="U93" s="7"/>
    </row>
    <row r="94" spans="2:22">
      <c r="B94" t="s">
        <v>88</v>
      </c>
      <c r="T94" s="7">
        <v>2973</v>
      </c>
      <c r="U94" s="7">
        <v>2939</v>
      </c>
    </row>
    <row r="95" spans="2:22">
      <c r="B95" t="s">
        <v>89</v>
      </c>
      <c r="T95" s="7">
        <v>9676</v>
      </c>
      <c r="U95" s="7">
        <v>9879</v>
      </c>
    </row>
    <row r="96" spans="2:22">
      <c r="B96" s="25" t="s">
        <v>90</v>
      </c>
      <c r="C96" s="25"/>
      <c r="D96" s="25"/>
      <c r="E96" s="25"/>
      <c r="F96" s="25"/>
      <c r="G96" s="25"/>
      <c r="H96" s="25"/>
      <c r="I96" s="25"/>
      <c r="J96" s="25"/>
      <c r="K96" s="25"/>
      <c r="L96" s="25"/>
      <c r="M96" s="25"/>
      <c r="N96" s="25"/>
      <c r="O96" s="25"/>
      <c r="P96" s="25"/>
      <c r="Q96" s="25"/>
      <c r="R96" s="25"/>
      <c r="S96" s="25"/>
      <c r="T96" s="10">
        <f>T92+SUM(T94:T95)</f>
        <v>61115</v>
      </c>
      <c r="U96" s="10">
        <f>U92+SUM(U94:U95)</f>
        <v>61194</v>
      </c>
      <c r="V96" s="8"/>
    </row>
    <row r="98" spans="2:21">
      <c r="B98" t="s">
        <v>92</v>
      </c>
      <c r="T98" s="7">
        <v>-21045</v>
      </c>
      <c r="U98" s="7">
        <v>-27085</v>
      </c>
    </row>
    <row r="99" spans="2:21">
      <c r="B99" t="s">
        <v>93</v>
      </c>
      <c r="T99" s="7">
        <v>19642</v>
      </c>
      <c r="U99" s="7">
        <v>20705</v>
      </c>
    </row>
    <row r="100" spans="2:21">
      <c r="B100" t="s">
        <v>94</v>
      </c>
      <c r="T100" s="7">
        <v>23200</v>
      </c>
      <c r="U100" s="7">
        <v>27347</v>
      </c>
    </row>
    <row r="101" spans="2:21">
      <c r="B101" t="s">
        <v>95</v>
      </c>
      <c r="T101" s="7">
        <v>-746</v>
      </c>
      <c r="U101" s="7">
        <v>-550</v>
      </c>
    </row>
    <row r="102" spans="2:21">
      <c r="B102" s="25" t="s">
        <v>96</v>
      </c>
      <c r="C102" s="25"/>
      <c r="D102" s="25"/>
      <c r="E102" s="25"/>
      <c r="F102" s="25"/>
      <c r="G102" s="25"/>
      <c r="H102" s="25"/>
      <c r="I102" s="25"/>
      <c r="J102" s="25"/>
      <c r="K102" s="25"/>
      <c r="L102" s="25"/>
      <c r="M102" s="25"/>
      <c r="N102" s="25"/>
      <c r="O102" s="25"/>
      <c r="P102" s="25"/>
      <c r="Q102" s="25"/>
      <c r="R102" s="25"/>
      <c r="S102" s="25"/>
      <c r="T102" s="10">
        <f>SUM(T98:T101)</f>
        <v>21051</v>
      </c>
      <c r="U102" s="10">
        <f>SUM(U98:U101)</f>
        <v>20417</v>
      </c>
    </row>
    <row r="103" spans="2:21">
      <c r="B103" s="2" t="s">
        <v>97</v>
      </c>
      <c r="T103" s="8">
        <f>SUM(T102,T96,)</f>
        <v>82166</v>
      </c>
      <c r="U103" s="8">
        <f>SUM(U102,U96,)</f>
        <v>81611</v>
      </c>
    </row>
    <row r="105" spans="2:21">
      <c r="B105" t="s">
        <v>98</v>
      </c>
      <c r="T105" s="3">
        <f>T85-T103</f>
        <v>0</v>
      </c>
      <c r="U105" s="3">
        <f>U85-U103</f>
        <v>0</v>
      </c>
    </row>
    <row r="107" spans="2:21" ht="23.25">
      <c r="B107" s="17" t="s">
        <v>99</v>
      </c>
      <c r="C107" s="17"/>
      <c r="D107" s="17"/>
      <c r="E107" s="17"/>
      <c r="F107" s="17"/>
      <c r="G107" s="17"/>
      <c r="H107" s="17"/>
      <c r="I107" s="17"/>
      <c r="J107" s="17"/>
      <c r="K107" s="18"/>
      <c r="L107" s="18"/>
      <c r="M107" s="18"/>
      <c r="N107" s="18"/>
      <c r="O107" s="18"/>
      <c r="P107" s="18"/>
      <c r="Q107" s="18"/>
      <c r="R107" s="18"/>
      <c r="S107" s="18"/>
      <c r="T107" s="18"/>
      <c r="U107" s="18"/>
    </row>
    <row r="108" spans="2:21">
      <c r="C108" s="34" t="s">
        <v>142</v>
      </c>
      <c r="D108" s="34" t="s">
        <v>143</v>
      </c>
      <c r="E108" s="34" t="s">
        <v>144</v>
      </c>
      <c r="F108" s="34" t="s">
        <v>149</v>
      </c>
      <c r="G108" s="34" t="s">
        <v>148</v>
      </c>
      <c r="H108" s="21" t="s">
        <v>52</v>
      </c>
      <c r="I108" s="21" t="s">
        <v>51</v>
      </c>
      <c r="J108" s="21" t="s">
        <v>47</v>
      </c>
      <c r="K108" s="21" t="s">
        <v>26</v>
      </c>
      <c r="L108" s="21" t="s">
        <v>46</v>
      </c>
      <c r="M108" s="21" t="s">
        <v>50</v>
      </c>
      <c r="N108" s="21" t="s">
        <v>48</v>
      </c>
      <c r="O108" s="21" t="s">
        <v>145</v>
      </c>
      <c r="P108" s="21" t="s">
        <v>147</v>
      </c>
      <c r="Q108" s="21" t="s">
        <v>146</v>
      </c>
      <c r="S108" s="22">
        <v>44926</v>
      </c>
      <c r="T108" s="22">
        <f>EOMONTH(S108,12)</f>
        <v>45291</v>
      </c>
      <c r="U108" s="22">
        <f>EOMONTH(T108,12)</f>
        <v>45657</v>
      </c>
    </row>
    <row r="109" spans="2:21">
      <c r="B109" t="s">
        <v>150</v>
      </c>
      <c r="C109" s="7">
        <f t="shared" ref="C109:O109" si="72">C45</f>
        <v>4175</v>
      </c>
      <c r="D109" s="7">
        <f t="shared" si="72"/>
        <v>3197</v>
      </c>
      <c r="E109" s="7">
        <f t="shared" si="72"/>
        <v>4926</v>
      </c>
      <c r="F109" s="3">
        <f t="shared" si="72"/>
        <v>4303</v>
      </c>
      <c r="G109" s="3">
        <f t="shared" si="72"/>
        <v>4475</v>
      </c>
      <c r="H109" s="3">
        <f t="shared" si="72"/>
        <v>4363</v>
      </c>
      <c r="I109" s="3">
        <f t="shared" si="72"/>
        <v>4227</v>
      </c>
      <c r="J109" s="3">
        <f t="shared" si="72"/>
        <v>4433</v>
      </c>
      <c r="K109" s="3">
        <f t="shared" si="72"/>
        <v>4381</v>
      </c>
      <c r="L109" s="3">
        <f t="shared" si="72"/>
        <v>2406</v>
      </c>
      <c r="M109" s="3">
        <f t="shared" si="72"/>
        <v>2350</v>
      </c>
      <c r="N109" s="3">
        <f t="shared" si="72"/>
        <v>2387</v>
      </c>
      <c r="O109" s="3">
        <f t="shared" si="72"/>
        <v>2502.9390600000006</v>
      </c>
      <c r="P109" s="3"/>
      <c r="Q109" s="3"/>
      <c r="R109" s="3"/>
      <c r="S109" s="3">
        <f t="shared" ref="S109:U110" si="73">S45</f>
        <v>2419</v>
      </c>
      <c r="T109" s="3">
        <f t="shared" si="73"/>
        <v>4246</v>
      </c>
      <c r="U109" s="3">
        <f t="shared" si="73"/>
        <v>4147</v>
      </c>
    </row>
    <row r="110" spans="2:21">
      <c r="B110" t="s">
        <v>100</v>
      </c>
      <c r="C110" s="7">
        <v>509</v>
      </c>
      <c r="D110" s="7">
        <f>168-C110</f>
        <v>-341</v>
      </c>
      <c r="E110" s="3"/>
      <c r="F110" s="3">
        <f>795</f>
        <v>795</v>
      </c>
      <c r="G110" s="3">
        <v>1029</v>
      </c>
      <c r="H110" s="3">
        <f>2844-SUM(F110:G110)</f>
        <v>1020</v>
      </c>
      <c r="I110" s="3">
        <v>888</v>
      </c>
      <c r="J110" s="3">
        <v>1128</v>
      </c>
      <c r="K110" s="3">
        <v>1010</v>
      </c>
      <c r="L110" s="3">
        <v>1287</v>
      </c>
      <c r="M110" s="3">
        <v>1261</v>
      </c>
      <c r="N110" s="3">
        <v>1248</v>
      </c>
      <c r="O110" s="3"/>
      <c r="P110" s="3"/>
      <c r="Q110" s="3"/>
      <c r="R110" s="3"/>
      <c r="S110" s="3">
        <f t="shared" si="73"/>
        <v>0</v>
      </c>
      <c r="T110" s="3">
        <f t="shared" si="73"/>
        <v>0</v>
      </c>
      <c r="U110" s="3">
        <f t="shared" si="73"/>
        <v>0</v>
      </c>
    </row>
    <row r="111" spans="2:21">
      <c r="C111" s="3"/>
      <c r="D111" s="3"/>
      <c r="E111" s="3"/>
      <c r="F111" s="3"/>
      <c r="G111" s="3"/>
      <c r="H111" s="3"/>
      <c r="I111" s="3"/>
      <c r="J111" s="3"/>
      <c r="K111" s="3"/>
      <c r="L111" s="3"/>
      <c r="M111" s="3"/>
      <c r="N111" s="3"/>
      <c r="O111" s="3"/>
      <c r="P111" s="3"/>
      <c r="Q111" s="3"/>
      <c r="R111" s="3"/>
      <c r="S111" s="3"/>
      <c r="T111" s="3"/>
      <c r="U111" s="3"/>
    </row>
    <row r="112" spans="2:21">
      <c r="B112" t="s">
        <v>101</v>
      </c>
      <c r="C112" s="3">
        <v>369</v>
      </c>
      <c r="D112" s="3">
        <f>817-369</f>
        <v>448</v>
      </c>
      <c r="E112" s="3">
        <f>SUM(C112:D112)</f>
        <v>817</v>
      </c>
      <c r="F112" s="3">
        <v>442</v>
      </c>
      <c r="G112" s="3">
        <f>840-F112</f>
        <v>398</v>
      </c>
      <c r="H112" s="3">
        <f>1286-SUM(F112:G112)</f>
        <v>446</v>
      </c>
      <c r="I112" s="3">
        <v>321</v>
      </c>
      <c r="J112" s="3">
        <v>335</v>
      </c>
      <c r="K112" s="3">
        <v>352</v>
      </c>
      <c r="L112" s="3">
        <v>371</v>
      </c>
      <c r="M112" s="3">
        <v>476</v>
      </c>
      <c r="N112" s="3">
        <v>283</v>
      </c>
      <c r="O112" s="3"/>
      <c r="P112" s="3"/>
      <c r="Q112" s="3"/>
      <c r="R112" s="3"/>
      <c r="S112" s="3">
        <v>1572</v>
      </c>
      <c r="T112" s="3">
        <v>1682</v>
      </c>
      <c r="U112" s="3">
        <v>1442</v>
      </c>
    </row>
    <row r="113" spans="2:21">
      <c r="B113" t="s">
        <v>102</v>
      </c>
      <c r="C113" s="3">
        <v>328</v>
      </c>
      <c r="D113" s="3">
        <f>661-328</f>
        <v>333</v>
      </c>
      <c r="E113" s="3">
        <f>991-SUM(C113:D113)</f>
        <v>330</v>
      </c>
      <c r="F113" s="3">
        <v>270</v>
      </c>
      <c r="G113" s="3">
        <f>539-F113</f>
        <v>269</v>
      </c>
      <c r="H113" s="3">
        <f>809-SUM(F113:G113)</f>
        <v>270</v>
      </c>
      <c r="I113" s="3">
        <v>265</v>
      </c>
      <c r="J113" s="3">
        <v>263</v>
      </c>
      <c r="K113" s="3">
        <v>255</v>
      </c>
      <c r="L113" s="3">
        <v>245</v>
      </c>
      <c r="M113" s="3">
        <v>239</v>
      </c>
      <c r="N113" s="3">
        <v>245</v>
      </c>
      <c r="O113" s="3"/>
      <c r="P113" s="3"/>
      <c r="Q113" s="3"/>
      <c r="R113" s="3"/>
      <c r="S113" s="3">
        <v>1317</v>
      </c>
      <c r="T113" s="3">
        <v>1072</v>
      </c>
      <c r="U113" s="3">
        <v>1032</v>
      </c>
    </row>
    <row r="114" spans="2:21">
      <c r="B114" t="s">
        <v>103</v>
      </c>
      <c r="C114" s="3">
        <v>429</v>
      </c>
      <c r="D114" s="3">
        <f>741-C114</f>
        <v>312</v>
      </c>
      <c r="E114" s="3">
        <f>967-SUM(C114:D114)</f>
        <v>226</v>
      </c>
      <c r="F114" s="3">
        <v>345</v>
      </c>
      <c r="G114" s="3">
        <f>708-F114</f>
        <v>363</v>
      </c>
      <c r="H114" s="3">
        <f>1087-SUM(F114:G114)</f>
        <v>379</v>
      </c>
      <c r="I114" s="3">
        <v>365</v>
      </c>
      <c r="J114" s="3">
        <v>298</v>
      </c>
      <c r="K114" s="3">
        <v>284</v>
      </c>
      <c r="L114" s="3">
        <v>249</v>
      </c>
      <c r="M114" s="3">
        <v>286</v>
      </c>
      <c r="N114" s="3">
        <v>257</v>
      </c>
      <c r="O114" s="3"/>
      <c r="P114" s="3"/>
      <c r="Q114" s="3"/>
      <c r="R114" s="3"/>
      <c r="S114" s="3">
        <v>1261</v>
      </c>
      <c r="T114" s="3">
        <v>1475</v>
      </c>
      <c r="U114" s="3">
        <v>1230</v>
      </c>
    </row>
    <row r="115" spans="2:21">
      <c r="B115" t="s">
        <v>104</v>
      </c>
      <c r="C115" s="3">
        <v>-16</v>
      </c>
      <c r="D115" s="3">
        <f>-457-C115</f>
        <v>-441</v>
      </c>
      <c r="E115" s="3">
        <f>-538-SUM(C115:D115)</f>
        <v>-81</v>
      </c>
      <c r="F115" s="3">
        <v>-67</v>
      </c>
      <c r="G115" s="3">
        <f>-146-F115</f>
        <v>-79</v>
      </c>
      <c r="H115" s="3">
        <f>-439-SUM(F115:G115)</f>
        <v>-293</v>
      </c>
      <c r="I115" s="3">
        <v>52</v>
      </c>
      <c r="J115" s="3">
        <v>-23</v>
      </c>
      <c r="K115" s="3">
        <v>-21</v>
      </c>
      <c r="L115" s="3">
        <v>-6</v>
      </c>
      <c r="M115" s="3">
        <v>-83</v>
      </c>
      <c r="N115" s="3">
        <v>182</v>
      </c>
      <c r="O115" s="3"/>
      <c r="P115" s="3"/>
      <c r="Q115" s="3"/>
      <c r="R115" s="3"/>
      <c r="S115" s="3">
        <v>-811</v>
      </c>
      <c r="T115" s="3">
        <v>-668</v>
      </c>
      <c r="U115" s="3">
        <v>231</v>
      </c>
    </row>
    <row r="116" spans="2:21">
      <c r="B116" t="s">
        <v>105</v>
      </c>
      <c r="C116" s="3">
        <v>-14</v>
      </c>
      <c r="D116" s="3">
        <f>658-C116</f>
        <v>672</v>
      </c>
      <c r="E116" s="3">
        <f>163-SUM(C116:D116)</f>
        <v>-495</v>
      </c>
      <c r="F116" s="3">
        <v>-48</v>
      </c>
      <c r="G116" s="3">
        <f>-181-F116</f>
        <v>-133</v>
      </c>
      <c r="H116" s="3">
        <f>-205-SUM(F116:G116)</f>
        <v>-24</v>
      </c>
      <c r="I116" s="3">
        <v>49</v>
      </c>
      <c r="J116" s="3">
        <v>6</v>
      </c>
      <c r="K116" s="3">
        <v>171</v>
      </c>
      <c r="L116" s="3">
        <v>-48</v>
      </c>
      <c r="M116" s="3">
        <v>-11</v>
      </c>
      <c r="N116" s="3">
        <v>-10</v>
      </c>
      <c r="O116" s="3"/>
      <c r="P116" s="3"/>
      <c r="Q116" s="3"/>
      <c r="R116" s="3"/>
      <c r="S116" s="3">
        <v>304</v>
      </c>
      <c r="T116" s="3">
        <v>-201</v>
      </c>
      <c r="U116" s="3">
        <v>285</v>
      </c>
    </row>
    <row r="117" spans="2:21">
      <c r="B117" t="s">
        <v>106</v>
      </c>
      <c r="C117" s="3" t="s">
        <v>115</v>
      </c>
      <c r="D117" s="3"/>
      <c r="E117" s="3"/>
      <c r="F117" s="3"/>
      <c r="G117" s="3"/>
      <c r="H117" s="3"/>
      <c r="I117" s="3">
        <v>-75</v>
      </c>
      <c r="J117" s="3"/>
      <c r="K117" s="3"/>
      <c r="L117" s="3"/>
      <c r="M117" s="3"/>
      <c r="N117" s="3"/>
      <c r="O117" s="3"/>
      <c r="P117" s="3"/>
      <c r="Q117" s="3"/>
      <c r="R117" s="3"/>
      <c r="S117" s="3" t="s">
        <v>115</v>
      </c>
      <c r="T117" s="3">
        <v>356</v>
      </c>
      <c r="U117" s="3" t="s">
        <v>115</v>
      </c>
    </row>
    <row r="118" spans="2:21">
      <c r="B118" t="s">
        <v>107</v>
      </c>
      <c r="C118" s="3" t="s">
        <v>115</v>
      </c>
      <c r="D118" s="3"/>
      <c r="E118" s="3"/>
      <c r="F118" s="3"/>
      <c r="G118" s="3"/>
      <c r="H118" s="3"/>
      <c r="I118" s="3"/>
      <c r="J118" s="3">
        <v>-197</v>
      </c>
      <c r="K118" s="3">
        <v>-93</v>
      </c>
      <c r="L118" s="3">
        <v>-30</v>
      </c>
      <c r="M118" s="3">
        <v>-27</v>
      </c>
      <c r="N118" s="3">
        <v>-20</v>
      </c>
      <c r="O118" s="3"/>
      <c r="P118" s="3"/>
      <c r="Q118" s="3"/>
      <c r="R118" s="3"/>
      <c r="S118" s="3">
        <v>-70</v>
      </c>
      <c r="T118" s="3">
        <v>367</v>
      </c>
      <c r="U118" s="3">
        <v>-335</v>
      </c>
    </row>
    <row r="119" spans="2:21">
      <c r="B119" t="s">
        <v>108</v>
      </c>
      <c r="C119" s="3" t="s">
        <v>115</v>
      </c>
      <c r="D119" s="3"/>
      <c r="E119" s="3"/>
      <c r="F119" s="3"/>
      <c r="G119" s="3">
        <v>34</v>
      </c>
      <c r="H119" s="3">
        <f>49-SUM(F119:G119)</f>
        <v>15</v>
      </c>
      <c r="I119" s="3">
        <v>37</v>
      </c>
      <c r="J119" s="3">
        <v>27</v>
      </c>
      <c r="K119" s="3">
        <v>28</v>
      </c>
      <c r="L119" s="3">
        <v>25</v>
      </c>
      <c r="M119" s="3">
        <v>27</v>
      </c>
      <c r="N119" s="3">
        <v>70</v>
      </c>
      <c r="O119" s="3"/>
      <c r="P119" s="3"/>
      <c r="Q119" s="3"/>
      <c r="R119" s="3"/>
      <c r="S119" s="3" t="s">
        <v>115</v>
      </c>
      <c r="T119" s="3">
        <v>53</v>
      </c>
      <c r="U119" s="3">
        <v>125</v>
      </c>
    </row>
    <row r="120" spans="2:21">
      <c r="B120" t="s">
        <v>109</v>
      </c>
      <c r="C120" s="3">
        <v>74</v>
      </c>
      <c r="D120" s="3">
        <f>322-C120</f>
        <v>248</v>
      </c>
      <c r="E120" s="3">
        <f>567-SUM(C120:D120)</f>
        <v>245</v>
      </c>
      <c r="F120" s="3">
        <v>-92</v>
      </c>
      <c r="G120" s="3">
        <f>-276-F120</f>
        <v>-184</v>
      </c>
      <c r="H120" s="3">
        <f>-267-SUM(F120:G120)</f>
        <v>9</v>
      </c>
      <c r="I120" s="3">
        <v>13</v>
      </c>
      <c r="J120" s="3">
        <v>-55</v>
      </c>
      <c r="K120" s="3">
        <v>-96</v>
      </c>
      <c r="L120" s="3">
        <v>-73</v>
      </c>
      <c r="M120" s="3">
        <v>-224</v>
      </c>
      <c r="N120" s="3">
        <v>52</v>
      </c>
      <c r="O120" s="3"/>
      <c r="P120" s="3"/>
      <c r="Q120" s="3"/>
      <c r="R120" s="3"/>
      <c r="S120" s="3">
        <v>275</v>
      </c>
      <c r="T120" s="3">
        <v>-104</v>
      </c>
      <c r="U120" s="3">
        <v>-3</v>
      </c>
    </row>
    <row r="121" spans="2:21">
      <c r="B121" t="s">
        <v>110</v>
      </c>
      <c r="C121" s="3" t="s">
        <v>115</v>
      </c>
      <c r="D121" s="3"/>
      <c r="E121" s="3"/>
      <c r="F121" s="3"/>
      <c r="G121" s="3">
        <v>-1521</v>
      </c>
      <c r="H121" s="3">
        <f>-5705-SUM(F121:G121)</f>
        <v>-4184</v>
      </c>
      <c r="I121" s="3">
        <v>-5345</v>
      </c>
      <c r="J121" s="3">
        <v>-5720</v>
      </c>
      <c r="K121" s="3">
        <v>-6108</v>
      </c>
      <c r="L121" s="3">
        <v>-6629</v>
      </c>
      <c r="M121" s="3">
        <v>-7729</v>
      </c>
      <c r="N121" s="3">
        <v>-9682</v>
      </c>
      <c r="O121" s="3"/>
      <c r="P121" s="3"/>
      <c r="Q121" s="3"/>
      <c r="R121" s="3"/>
      <c r="S121" s="3" t="s">
        <v>115</v>
      </c>
      <c r="T121" s="3">
        <v>-11470</v>
      </c>
      <c r="U121" s="3">
        <v>-24498</v>
      </c>
    </row>
    <row r="122" spans="2:21">
      <c r="B122" t="s">
        <v>111</v>
      </c>
      <c r="C122" s="3" t="s">
        <v>115</v>
      </c>
      <c r="D122" s="3"/>
      <c r="E122" s="3"/>
      <c r="F122" s="3"/>
      <c r="G122" s="3">
        <v>302</v>
      </c>
      <c r="H122" s="3">
        <f>3676-SUM(F122:G122)</f>
        <v>3374</v>
      </c>
      <c r="I122" s="3">
        <v>5232</v>
      </c>
      <c r="J122" s="3">
        <v>5943</v>
      </c>
      <c r="K122" s="3">
        <v>5984</v>
      </c>
      <c r="L122" s="3">
        <v>6445</v>
      </c>
      <c r="M122" s="3">
        <v>7667</v>
      </c>
      <c r="N122" s="3">
        <v>9048</v>
      </c>
      <c r="O122" s="3"/>
      <c r="P122" s="3"/>
      <c r="Q122" s="3"/>
      <c r="R122" s="3"/>
      <c r="S122" s="3" t="s">
        <v>115</v>
      </c>
      <c r="T122" s="3">
        <v>10795</v>
      </c>
      <c r="U122" s="3">
        <v>24352</v>
      </c>
    </row>
    <row r="123" spans="2:21">
      <c r="C123" s="3"/>
      <c r="D123" s="3"/>
      <c r="E123" s="3"/>
      <c r="F123" s="3"/>
      <c r="G123" s="3"/>
      <c r="H123" s="3"/>
      <c r="I123" s="3"/>
      <c r="J123" s="3"/>
      <c r="K123" s="3"/>
      <c r="L123" s="3"/>
      <c r="M123" s="3"/>
      <c r="N123" s="3"/>
      <c r="O123" s="3"/>
      <c r="P123" s="3"/>
      <c r="Q123" s="3"/>
      <c r="R123" s="3"/>
      <c r="S123" s="3"/>
      <c r="T123" s="3"/>
      <c r="U123" s="3"/>
    </row>
    <row r="124" spans="2:21">
      <c r="B124" t="s">
        <v>156</v>
      </c>
      <c r="C124" s="3">
        <v>-50</v>
      </c>
      <c r="D124" s="3">
        <f>-67-C124</f>
        <v>-17</v>
      </c>
      <c r="E124" s="3">
        <f>-89-SUM(C124:D124)</f>
        <v>-22</v>
      </c>
      <c r="F124" s="3">
        <v>-3</v>
      </c>
      <c r="G124" s="3">
        <f>36-F124</f>
        <v>39</v>
      </c>
      <c r="H124" s="3">
        <f>-35-SUM(F124:G124)</f>
        <v>-71</v>
      </c>
      <c r="I124" s="3">
        <v>-39</v>
      </c>
      <c r="J124" s="3">
        <v>121</v>
      </c>
      <c r="K124" s="3">
        <v>-51</v>
      </c>
      <c r="L124" s="3">
        <v>-98</v>
      </c>
      <c r="M124" s="3">
        <v>-17</v>
      </c>
      <c r="N124" s="3">
        <v>126</v>
      </c>
      <c r="O124" s="3"/>
      <c r="P124" s="3"/>
      <c r="Q124" s="3"/>
      <c r="R124" s="3"/>
      <c r="S124" s="3">
        <v>-163</v>
      </c>
      <c r="T124" s="3">
        <v>-114</v>
      </c>
      <c r="U124" s="3">
        <v>85</v>
      </c>
    </row>
    <row r="125" spans="2:21">
      <c r="B125" t="s">
        <v>157</v>
      </c>
      <c r="C125" s="3">
        <v>-29</v>
      </c>
      <c r="D125" s="3">
        <f>27-C125</f>
        <v>56</v>
      </c>
      <c r="E125" s="3">
        <f>-55-SUM(C125:D125)</f>
        <v>-82</v>
      </c>
      <c r="F125" s="3">
        <v>-240</v>
      </c>
      <c r="G125" s="3">
        <f>-12-F125</f>
        <v>228</v>
      </c>
      <c r="H125" s="3">
        <f>-6-SUM(F125:G125)</f>
        <v>6</v>
      </c>
      <c r="I125" s="3">
        <v>-22</v>
      </c>
      <c r="J125" s="3">
        <v>11</v>
      </c>
      <c r="K125" s="3">
        <v>35</v>
      </c>
      <c r="L125" s="3">
        <v>-52</v>
      </c>
      <c r="M125" s="3">
        <v>2</v>
      </c>
      <c r="N125" s="3">
        <v>44</v>
      </c>
      <c r="O125" s="3"/>
      <c r="P125" s="3"/>
      <c r="Q125" s="3"/>
      <c r="R125" s="3"/>
      <c r="S125" s="3">
        <v>-35</v>
      </c>
      <c r="T125" s="3">
        <v>7</v>
      </c>
      <c r="U125" s="3">
        <v>83</v>
      </c>
    </row>
    <row r="126" spans="2:21">
      <c r="B126" t="s">
        <v>112</v>
      </c>
      <c r="C126" s="3" t="s">
        <v>115</v>
      </c>
      <c r="D126" s="3"/>
      <c r="E126" s="3"/>
      <c r="F126" s="3"/>
      <c r="G126" s="3"/>
      <c r="H126" s="3"/>
      <c r="I126" s="3"/>
      <c r="J126" s="3"/>
      <c r="K126" s="3"/>
      <c r="L126" s="3"/>
      <c r="M126" s="3"/>
      <c r="N126" s="3"/>
      <c r="O126" s="3"/>
      <c r="P126" s="3"/>
      <c r="Q126" s="3"/>
      <c r="R126" s="3"/>
      <c r="S126" s="3">
        <v>-1230</v>
      </c>
      <c r="T126" s="3">
        <v>-1188</v>
      </c>
      <c r="U126" s="3">
        <v>-1131</v>
      </c>
    </row>
    <row r="127" spans="2:21">
      <c r="B127" t="s">
        <v>113</v>
      </c>
      <c r="C127" s="3" t="s">
        <v>115</v>
      </c>
      <c r="D127" s="3"/>
      <c r="E127" s="3"/>
      <c r="F127" s="3"/>
      <c r="G127" s="3"/>
      <c r="H127" s="3"/>
      <c r="I127" s="3"/>
      <c r="J127" s="3"/>
      <c r="K127" s="3"/>
      <c r="L127" s="3"/>
      <c r="M127" s="3"/>
      <c r="N127" s="3"/>
      <c r="O127" s="3"/>
      <c r="P127" s="3"/>
      <c r="Q127" s="3"/>
      <c r="R127" s="3"/>
      <c r="S127" s="3">
        <v>118</v>
      </c>
      <c r="T127" s="3">
        <v>203</v>
      </c>
      <c r="U127" s="3">
        <v>-8</v>
      </c>
    </row>
    <row r="128" spans="2:21">
      <c r="B128" t="s">
        <v>158</v>
      </c>
      <c r="C128" s="3">
        <v>17</v>
      </c>
      <c r="D128" s="3">
        <f>86-C128</f>
        <v>69</v>
      </c>
      <c r="E128" s="3">
        <f>109-SUM(C128:D128)</f>
        <v>23</v>
      </c>
      <c r="F128" s="3">
        <v>-235</v>
      </c>
      <c r="G128" s="3">
        <f>-326-F128</f>
        <v>-91</v>
      </c>
      <c r="H128" s="3">
        <f>-31-SUM(F128:G128)</f>
        <v>295</v>
      </c>
      <c r="I128" s="3"/>
      <c r="J128" s="3"/>
      <c r="K128" s="3"/>
      <c r="L128" s="3"/>
      <c r="M128" s="3"/>
      <c r="N128" s="3"/>
      <c r="O128" s="3"/>
      <c r="P128" s="3"/>
      <c r="Q128" s="3"/>
      <c r="R128" s="3"/>
      <c r="S128" s="3"/>
      <c r="T128" s="3"/>
      <c r="U128" s="3"/>
    </row>
    <row r="129" spans="2:21">
      <c r="B129" t="s">
        <v>114</v>
      </c>
      <c r="C129" s="3">
        <v>-375</v>
      </c>
      <c r="D129" s="3">
        <f>-408-C129</f>
        <v>-33</v>
      </c>
      <c r="E129" s="3">
        <f>-141-SUM(C129:D129)</f>
        <v>267</v>
      </c>
      <c r="F129" s="3">
        <v>3</v>
      </c>
      <c r="G129" s="3">
        <f>-851-F129</f>
        <v>-854</v>
      </c>
      <c r="H129" s="3">
        <f>-834-SUM(F129:G129)</f>
        <v>17</v>
      </c>
      <c r="I129" s="3">
        <v>176</v>
      </c>
      <c r="J129" s="3">
        <v>-687</v>
      </c>
      <c r="K129" s="3">
        <v>-136</v>
      </c>
      <c r="L129" s="3">
        <v>-526</v>
      </c>
      <c r="M129" s="3">
        <v>-969</v>
      </c>
      <c r="N129" s="3">
        <v>-69</v>
      </c>
      <c r="O129" s="3"/>
      <c r="P129" s="3"/>
      <c r="Q129" s="3"/>
      <c r="R129" s="3"/>
      <c r="S129" s="3">
        <v>856</v>
      </c>
      <c r="T129" s="3">
        <v>-222</v>
      </c>
      <c r="U129" s="3">
        <v>413</v>
      </c>
    </row>
    <row r="130" spans="2:21">
      <c r="B130" s="25" t="s">
        <v>128</v>
      </c>
      <c r="C130" s="28">
        <f>C109+SUM(C112:C129)</f>
        <v>4908</v>
      </c>
      <c r="D130" s="28">
        <f>D109+SUM(D112:D129)</f>
        <v>4844</v>
      </c>
      <c r="E130" s="28">
        <f>E109+SUM(E112:E129)</f>
        <v>6154</v>
      </c>
      <c r="F130" s="28">
        <f>F109+SUM(F112:F129)</f>
        <v>4678</v>
      </c>
      <c r="G130" s="28">
        <f>G109+SUM(G112:G129)</f>
        <v>3246</v>
      </c>
      <c r="H130" s="28">
        <f>H110+SUM(H112:H129)</f>
        <v>1259</v>
      </c>
      <c r="I130" s="28">
        <f t="shared" ref="I130:Q130" si="74">I109+SUM(I112:I129)</f>
        <v>5256</v>
      </c>
      <c r="J130" s="28">
        <f t="shared" si="74"/>
        <v>4755</v>
      </c>
      <c r="K130" s="28">
        <f t="shared" si="74"/>
        <v>4985</v>
      </c>
      <c r="L130" s="28">
        <f t="shared" si="74"/>
        <v>2279</v>
      </c>
      <c r="M130" s="28">
        <f t="shared" si="74"/>
        <v>1987</v>
      </c>
      <c r="N130" s="28">
        <f t="shared" si="74"/>
        <v>2913</v>
      </c>
      <c r="O130" s="28">
        <f t="shared" si="74"/>
        <v>2502.9390600000006</v>
      </c>
      <c r="P130" s="28">
        <f t="shared" si="74"/>
        <v>0</v>
      </c>
      <c r="Q130" s="28">
        <f t="shared" si="74"/>
        <v>0</v>
      </c>
      <c r="R130" s="29"/>
      <c r="S130" s="28">
        <f>S109+SUM(S112:S129)</f>
        <v>5813</v>
      </c>
      <c r="T130" s="28">
        <f>T109+SUM(T112:T129)</f>
        <v>6289</v>
      </c>
      <c r="U130" s="28">
        <f>U109+SUM(U112:U129)</f>
        <v>7450</v>
      </c>
    </row>
    <row r="131" spans="2:21">
      <c r="C131" s="3"/>
      <c r="D131" s="3"/>
      <c r="E131" s="3"/>
      <c r="F131" s="3"/>
      <c r="G131" s="3"/>
      <c r="H131" s="3"/>
      <c r="I131" s="3"/>
      <c r="J131" s="3"/>
      <c r="K131" s="3"/>
      <c r="L131" s="3"/>
      <c r="M131" s="3"/>
      <c r="N131" s="3"/>
      <c r="O131" s="3"/>
      <c r="P131" s="3"/>
      <c r="Q131" s="3"/>
      <c r="R131" s="3"/>
      <c r="S131" s="3"/>
      <c r="T131" s="3"/>
      <c r="U131" s="3"/>
    </row>
    <row r="132" spans="2:21">
      <c r="B132" t="s">
        <v>116</v>
      </c>
      <c r="C132" s="3"/>
      <c r="D132" s="3"/>
      <c r="E132" s="3"/>
      <c r="F132" s="3"/>
      <c r="G132" s="3"/>
      <c r="H132" s="3"/>
      <c r="I132" s="3"/>
      <c r="J132" s="3"/>
      <c r="K132" s="3">
        <v>-299</v>
      </c>
      <c r="L132" s="3">
        <v>-200</v>
      </c>
      <c r="M132" s="3">
        <v>-1</v>
      </c>
      <c r="N132" s="3"/>
      <c r="O132" s="3"/>
      <c r="P132" s="3"/>
      <c r="Q132" s="3"/>
      <c r="R132" s="3"/>
      <c r="S132" s="3" t="s">
        <v>115</v>
      </c>
      <c r="T132" s="3" t="s">
        <v>115</v>
      </c>
      <c r="U132" s="3">
        <v>-424</v>
      </c>
    </row>
    <row r="133" spans="2:21">
      <c r="B133" t="s">
        <v>117</v>
      </c>
      <c r="C133" s="3"/>
      <c r="D133" s="3"/>
      <c r="E133" s="3"/>
      <c r="F133" s="3"/>
      <c r="G133" s="3"/>
      <c r="H133" s="3"/>
      <c r="I133" s="3"/>
      <c r="J133" s="3"/>
      <c r="K133" s="3">
        <v>226</v>
      </c>
      <c r="L133" s="3">
        <v>87</v>
      </c>
      <c r="M133" s="3">
        <v>201</v>
      </c>
      <c r="N133" s="3"/>
      <c r="O133" s="3"/>
      <c r="P133" s="3"/>
      <c r="Q133" s="3"/>
      <c r="R133" s="3"/>
      <c r="S133" s="3" t="s">
        <v>115</v>
      </c>
      <c r="T133" s="3" t="s">
        <v>115</v>
      </c>
      <c r="U133" s="3">
        <v>337</v>
      </c>
    </row>
    <row r="134" spans="2:21">
      <c r="B134" t="s">
        <v>118</v>
      </c>
      <c r="C134" s="3">
        <v>-191</v>
      </c>
      <c r="D134" s="3">
        <f>-366-C134</f>
        <v>-175</v>
      </c>
      <c r="E134" s="3">
        <f>-548-SUM(C134:D134)</f>
        <v>-182</v>
      </c>
      <c r="F134" s="3">
        <v>-170</v>
      </c>
      <c r="G134" s="3">
        <f>-320-F134</f>
        <v>-150</v>
      </c>
      <c r="H134" s="3">
        <v>-158</v>
      </c>
      <c r="I134" s="3">
        <v>-154</v>
      </c>
      <c r="J134" s="3">
        <v>-157</v>
      </c>
      <c r="K134" s="3">
        <v>-169</v>
      </c>
      <c r="L134" s="3">
        <v>-196</v>
      </c>
      <c r="M134" s="3">
        <v>-206</v>
      </c>
      <c r="N134" s="3">
        <v>-256</v>
      </c>
      <c r="O134" s="3"/>
      <c r="P134" s="3"/>
      <c r="Q134" s="3"/>
      <c r="R134" s="3"/>
      <c r="S134" s="3">
        <v>-706</v>
      </c>
      <c r="T134" s="3">
        <v>-623</v>
      </c>
      <c r="U134" s="3">
        <v>-683</v>
      </c>
    </row>
    <row r="135" spans="2:21">
      <c r="B135" t="s">
        <v>119</v>
      </c>
      <c r="C135" s="3">
        <v>3</v>
      </c>
      <c r="D135" s="3">
        <f>5-C135</f>
        <v>2</v>
      </c>
      <c r="E135" s="3">
        <f>5-SUM(C135:D135)</f>
        <v>0</v>
      </c>
      <c r="F135" s="3">
        <v>1</v>
      </c>
      <c r="G135" s="3">
        <f>40-F135</f>
        <v>39</v>
      </c>
      <c r="H135" s="3">
        <v>4</v>
      </c>
      <c r="I135" s="3"/>
      <c r="J135" s="3"/>
      <c r="K135" s="3"/>
      <c r="L135" s="3">
        <v>2</v>
      </c>
      <c r="M135" s="3">
        <v>1</v>
      </c>
      <c r="N135" s="3"/>
      <c r="O135" s="3"/>
      <c r="P135" s="3"/>
      <c r="Q135" s="3"/>
      <c r="R135" s="3"/>
      <c r="S135" s="3">
        <v>5</v>
      </c>
      <c r="T135" s="3">
        <v>45</v>
      </c>
      <c r="U135" s="3">
        <v>1</v>
      </c>
    </row>
    <row r="136" spans="2:21">
      <c r="B136" t="s">
        <v>120</v>
      </c>
      <c r="C136" s="3">
        <v>-5525</v>
      </c>
      <c r="D136" s="3">
        <f>-12300-C136</f>
        <v>-6775</v>
      </c>
      <c r="E136" s="3">
        <f>-19167-SUM(C136:D136)</f>
        <v>-6867</v>
      </c>
      <c r="F136" s="3">
        <v>-8267</v>
      </c>
      <c r="G136" s="3">
        <f>-15167-F136</f>
        <v>-6900</v>
      </c>
      <c r="H136" s="3">
        <v>-4635</v>
      </c>
      <c r="I136" s="3">
        <v>-4779</v>
      </c>
      <c r="J136" s="3">
        <v>-5182</v>
      </c>
      <c r="K136" s="3">
        <v>-5413</v>
      </c>
      <c r="L136" s="3">
        <v>-5508</v>
      </c>
      <c r="M136" s="3">
        <v>-5982</v>
      </c>
      <c r="N136" s="3">
        <v>-4414</v>
      </c>
      <c r="O136" s="3"/>
      <c r="P136" s="3"/>
      <c r="Q136" s="3"/>
      <c r="R136" s="3"/>
      <c r="S136" s="3">
        <v>-28170</v>
      </c>
      <c r="T136" s="3">
        <v>-25198</v>
      </c>
      <c r="U136" s="3">
        <v>-21807</v>
      </c>
    </row>
    <row r="137" spans="2:21">
      <c r="B137" t="s">
        <v>121</v>
      </c>
      <c r="C137" s="3">
        <v>5054</v>
      </c>
      <c r="D137" s="3">
        <f>10910-C137</f>
        <v>5856</v>
      </c>
      <c r="E137" s="3">
        <f>17164-SUM(C137:D137)</f>
        <v>6254</v>
      </c>
      <c r="F137" s="3">
        <v>8063</v>
      </c>
      <c r="G137" s="3">
        <f>15990-F137</f>
        <v>7927</v>
      </c>
      <c r="H137" s="3">
        <v>5329</v>
      </c>
      <c r="I137" s="3">
        <v>4827</v>
      </c>
      <c r="J137" s="3">
        <v>4933</v>
      </c>
      <c r="K137" s="3">
        <v>4945</v>
      </c>
      <c r="L137" s="3">
        <v>5447</v>
      </c>
      <c r="M137" s="3">
        <v>5763</v>
      </c>
      <c r="N137" s="3">
        <v>4735</v>
      </c>
      <c r="O137" s="3"/>
      <c r="P137" s="3"/>
      <c r="Q137" s="3"/>
      <c r="R137" s="3"/>
      <c r="S137" s="3">
        <v>24903</v>
      </c>
      <c r="T137" s="3">
        <v>26660</v>
      </c>
      <c r="U137" s="3">
        <v>20272</v>
      </c>
    </row>
    <row r="138" spans="2:21">
      <c r="B138" t="s">
        <v>122</v>
      </c>
      <c r="C138" s="3">
        <v>-8604</v>
      </c>
      <c r="D138" s="3">
        <f>-13151-C138</f>
        <v>-4547</v>
      </c>
      <c r="E138" s="3">
        <f>-16455-SUM(C138:D138)</f>
        <v>-3304</v>
      </c>
      <c r="F138" s="3">
        <v>-6100</v>
      </c>
      <c r="G138" s="3">
        <f>-10523-F138</f>
        <v>-4423</v>
      </c>
      <c r="H138" s="3">
        <v>-4452</v>
      </c>
      <c r="I138" s="3">
        <v>-7081</v>
      </c>
      <c r="J138" s="3">
        <v>-8923</v>
      </c>
      <c r="K138" s="3">
        <v>-4815</v>
      </c>
      <c r="L138" s="3">
        <v>-5970</v>
      </c>
      <c r="M138" s="3">
        <v>-5594</v>
      </c>
      <c r="N138" s="3">
        <v>-4387</v>
      </c>
      <c r="O138" s="3"/>
      <c r="P138" s="3"/>
      <c r="Q138" s="3"/>
      <c r="R138" s="3"/>
      <c r="S138" s="3">
        <v>-20219</v>
      </c>
      <c r="T138" s="3">
        <v>-21980</v>
      </c>
      <c r="U138" s="3">
        <v>-26209</v>
      </c>
    </row>
    <row r="139" spans="2:21">
      <c r="B139" t="s">
        <v>123</v>
      </c>
      <c r="C139" s="3">
        <v>8751</v>
      </c>
      <c r="D139" s="3">
        <f>11087-C139</f>
        <v>2336</v>
      </c>
      <c r="E139" s="3">
        <f>16770-SUM(C139:D139)</f>
        <v>5683</v>
      </c>
      <c r="F139" s="3">
        <v>5445</v>
      </c>
      <c r="G139" s="3">
        <f>10742-F139</f>
        <v>5297</v>
      </c>
      <c r="H139" s="3">
        <v>5368</v>
      </c>
      <c r="I139" s="3">
        <v>9242</v>
      </c>
      <c r="J139" s="3">
        <v>4999</v>
      </c>
      <c r="K139" s="3">
        <v>6938</v>
      </c>
      <c r="L139" s="3">
        <v>5465</v>
      </c>
      <c r="M139" s="3">
        <v>6130</v>
      </c>
      <c r="N139" s="3">
        <v>7432</v>
      </c>
      <c r="O139" s="3"/>
      <c r="P139" s="3"/>
      <c r="Q139" s="3"/>
      <c r="R139" s="3"/>
      <c r="S139" s="3">
        <v>23411</v>
      </c>
      <c r="T139" s="3">
        <v>24295</v>
      </c>
      <c r="U139" s="3">
        <v>26962</v>
      </c>
    </row>
    <row r="140" spans="2:21">
      <c r="B140" t="s">
        <v>124</v>
      </c>
      <c r="C140" s="3" t="s">
        <v>115</v>
      </c>
      <c r="D140" s="3"/>
      <c r="E140" s="3"/>
      <c r="F140" s="3"/>
      <c r="G140" s="3"/>
      <c r="H140" s="3"/>
      <c r="I140" s="3"/>
      <c r="J140" s="3"/>
      <c r="K140" s="3">
        <v>152</v>
      </c>
      <c r="L140" s="3"/>
      <c r="M140" s="3"/>
      <c r="N140" s="3"/>
      <c r="O140" s="3"/>
      <c r="P140" s="3"/>
      <c r="Q140" s="3"/>
      <c r="R140" s="3"/>
      <c r="S140" s="3" t="s">
        <v>115</v>
      </c>
      <c r="T140" s="3">
        <v>466</v>
      </c>
      <c r="U140" s="3" t="s">
        <v>115</v>
      </c>
    </row>
    <row r="141" spans="2:21">
      <c r="B141" t="s">
        <v>125</v>
      </c>
      <c r="C141" s="3">
        <v>-239</v>
      </c>
      <c r="D141" s="3">
        <f>-882-C141</f>
        <v>-643</v>
      </c>
      <c r="E141" s="3">
        <f>-1085-SUM(C141:D141)</f>
        <v>-203</v>
      </c>
      <c r="F141" s="3">
        <v>1076</v>
      </c>
      <c r="G141" s="3">
        <f>759-F141</f>
        <v>-317</v>
      </c>
      <c r="H141" s="3">
        <v>-1775</v>
      </c>
      <c r="I141" s="3">
        <v>-1169</v>
      </c>
      <c r="J141" s="3">
        <v>-198</v>
      </c>
      <c r="K141" s="3">
        <v>1309</v>
      </c>
      <c r="L141" s="3">
        <v>-2741</v>
      </c>
      <c r="M141" s="3">
        <v>-44</v>
      </c>
      <c r="N141" s="3">
        <v>1553</v>
      </c>
      <c r="O141" s="3"/>
      <c r="P141" s="3"/>
      <c r="Q141" s="3"/>
      <c r="R141" s="3"/>
      <c r="S141" s="3">
        <v>-2720</v>
      </c>
      <c r="T141" s="3">
        <v>-2943</v>
      </c>
      <c r="U141" s="3">
        <v>2908</v>
      </c>
    </row>
    <row r="142" spans="2:21">
      <c r="B142" t="s">
        <v>126</v>
      </c>
      <c r="C142" s="3" t="s">
        <v>115</v>
      </c>
      <c r="D142" s="3">
        <v>5</v>
      </c>
      <c r="E142" s="3"/>
      <c r="F142" s="3">
        <v>-22</v>
      </c>
      <c r="G142" s="3">
        <f>-11-F142</f>
        <v>11</v>
      </c>
      <c r="H142" s="3">
        <v>19</v>
      </c>
      <c r="I142" s="3">
        <v>74</v>
      </c>
      <c r="J142" s="3">
        <v>1</v>
      </c>
      <c r="K142" s="3"/>
      <c r="L142" s="3">
        <v>53</v>
      </c>
      <c r="M142" s="3">
        <v>263</v>
      </c>
      <c r="N142" s="3">
        <v>-523</v>
      </c>
      <c r="O142" s="3"/>
      <c r="P142" s="3"/>
      <c r="Q142" s="3"/>
      <c r="R142" s="3"/>
      <c r="S142" s="3">
        <v>-19</v>
      </c>
      <c r="T142" s="3">
        <v>-56</v>
      </c>
      <c r="U142" s="3">
        <v>73</v>
      </c>
    </row>
    <row r="143" spans="2:21">
      <c r="B143" t="s">
        <v>109</v>
      </c>
      <c r="C143" s="3" t="s">
        <v>115</v>
      </c>
      <c r="D143" s="3">
        <v>30</v>
      </c>
      <c r="E143" s="3">
        <v>30</v>
      </c>
      <c r="F143" s="3">
        <v>8</v>
      </c>
      <c r="G143" s="3">
        <f>83-F143</f>
        <v>75</v>
      </c>
      <c r="H143" s="3">
        <v>-7</v>
      </c>
      <c r="I143" s="3">
        <v>20</v>
      </c>
      <c r="J143" s="3">
        <v>80</v>
      </c>
      <c r="K143" s="3">
        <v>-200</v>
      </c>
      <c r="L143" s="3">
        <v>-20</v>
      </c>
      <c r="M143" s="3">
        <v>5</v>
      </c>
      <c r="N143" s="3"/>
      <c r="O143" s="3"/>
      <c r="P143" s="3"/>
      <c r="Q143" s="3"/>
      <c r="R143" s="3"/>
      <c r="S143" s="3">
        <v>187</v>
      </c>
      <c r="T143" s="3">
        <v>86</v>
      </c>
      <c r="U143" s="3">
        <v>159</v>
      </c>
    </row>
    <row r="144" spans="2:21">
      <c r="B144" s="25" t="s">
        <v>127</v>
      </c>
      <c r="C144" s="28">
        <f t="shared" ref="C144:Q144" si="75">SUM(C132:C143)</f>
        <v>-751</v>
      </c>
      <c r="D144" s="28">
        <f>SUM(D134:D143)</f>
        <v>-3911</v>
      </c>
      <c r="E144" s="28">
        <f t="shared" si="75"/>
        <v>1411</v>
      </c>
      <c r="F144" s="28">
        <f t="shared" si="75"/>
        <v>34</v>
      </c>
      <c r="G144" s="28">
        <f t="shared" si="75"/>
        <v>1559</v>
      </c>
      <c r="H144" s="28">
        <f t="shared" si="75"/>
        <v>-307</v>
      </c>
      <c r="I144" s="28">
        <f t="shared" si="75"/>
        <v>980</v>
      </c>
      <c r="J144" s="28">
        <f t="shared" si="75"/>
        <v>-4447</v>
      </c>
      <c r="K144" s="28">
        <f t="shared" si="75"/>
        <v>2674</v>
      </c>
      <c r="L144" s="28">
        <f t="shared" si="75"/>
        <v>-3581</v>
      </c>
      <c r="M144" s="28">
        <f t="shared" si="75"/>
        <v>536</v>
      </c>
      <c r="N144" s="28">
        <f t="shared" si="75"/>
        <v>4140</v>
      </c>
      <c r="O144" s="28">
        <f t="shared" si="75"/>
        <v>0</v>
      </c>
      <c r="P144" s="28">
        <f t="shared" si="75"/>
        <v>0</v>
      </c>
      <c r="Q144" s="28">
        <f t="shared" si="75"/>
        <v>0</v>
      </c>
      <c r="R144" s="24"/>
      <c r="S144" s="28">
        <f t="shared" ref="S144:T144" si="76">SUM(S132:S143)</f>
        <v>-3328</v>
      </c>
      <c r="T144" s="28">
        <f t="shared" si="76"/>
        <v>752</v>
      </c>
      <c r="U144" s="28">
        <f>SUM(U132:U143)</f>
        <v>1589</v>
      </c>
    </row>
    <row r="145" spans="2:21">
      <c r="C145" s="3"/>
      <c r="D145" s="3"/>
      <c r="E145" s="3"/>
      <c r="F145" s="3"/>
      <c r="G145" s="3"/>
      <c r="H145" s="3"/>
      <c r="I145" s="3"/>
      <c r="J145" s="3"/>
      <c r="K145" s="3"/>
      <c r="L145" s="3"/>
      <c r="M145" s="3"/>
      <c r="N145" s="3"/>
      <c r="O145" s="3"/>
      <c r="P145" s="3"/>
      <c r="Q145" s="3"/>
      <c r="R145" s="3"/>
      <c r="S145" s="3"/>
      <c r="T145" s="3"/>
      <c r="U145" s="3"/>
    </row>
    <row r="146" spans="2:21">
      <c r="B146" t="s">
        <v>129</v>
      </c>
      <c r="C146" s="3" t="s">
        <v>115</v>
      </c>
      <c r="D146" s="3"/>
      <c r="E146" s="3"/>
      <c r="F146" s="3"/>
      <c r="G146" s="3"/>
      <c r="H146" s="3"/>
      <c r="I146" s="3"/>
      <c r="J146" s="3"/>
      <c r="K146" s="3">
        <v>656</v>
      </c>
      <c r="L146" s="3"/>
      <c r="M146" s="3">
        <v>405</v>
      </c>
      <c r="N146" s="3">
        <v>2544</v>
      </c>
      <c r="O146" s="3"/>
      <c r="P146" s="3"/>
      <c r="Q146" s="3"/>
      <c r="R146" s="3"/>
      <c r="S146" s="3" t="s">
        <v>115</v>
      </c>
      <c r="T146" s="3" t="s">
        <v>115</v>
      </c>
      <c r="U146" s="3">
        <v>656</v>
      </c>
    </row>
    <row r="147" spans="2:21">
      <c r="B147" t="s">
        <v>130</v>
      </c>
      <c r="C147" s="3" t="s">
        <v>115</v>
      </c>
      <c r="D147" s="3"/>
      <c r="E147" s="3"/>
      <c r="F147" s="3"/>
      <c r="G147" s="3"/>
      <c r="H147" s="3"/>
      <c r="I147" s="3"/>
      <c r="J147" s="3"/>
      <c r="K147" s="3">
        <v>-656</v>
      </c>
      <c r="L147" s="3"/>
      <c r="M147" s="3">
        <v>-405</v>
      </c>
      <c r="N147" s="3">
        <v>-2544</v>
      </c>
      <c r="O147" s="3"/>
      <c r="P147" s="3"/>
      <c r="Q147" s="3"/>
      <c r="R147" s="3"/>
      <c r="S147" s="3" t="s">
        <v>115</v>
      </c>
      <c r="T147" s="3" t="s">
        <v>115</v>
      </c>
      <c r="U147" s="3">
        <v>-656</v>
      </c>
    </row>
    <row r="148" spans="2:21">
      <c r="B148" t="s">
        <v>131</v>
      </c>
      <c r="C148" s="3">
        <v>3</v>
      </c>
      <c r="D148" s="3">
        <v>83</v>
      </c>
      <c r="E148" s="3"/>
      <c r="F148" s="3">
        <v>1</v>
      </c>
      <c r="G148" s="3">
        <f>82-1</f>
        <v>81</v>
      </c>
      <c r="H148" s="3"/>
      <c r="I148" s="3"/>
      <c r="J148" s="3">
        <v>55</v>
      </c>
      <c r="K148" s="3"/>
      <c r="L148" s="3"/>
      <c r="M148" s="3">
        <v>74</v>
      </c>
      <c r="N148" s="3"/>
      <c r="O148" s="3"/>
      <c r="P148" s="3"/>
      <c r="Q148" s="3"/>
      <c r="R148" s="3"/>
      <c r="S148" s="3">
        <v>143</v>
      </c>
      <c r="T148" s="3">
        <v>127</v>
      </c>
      <c r="U148" s="3">
        <v>95</v>
      </c>
    </row>
    <row r="149" spans="2:21">
      <c r="B149" t="s">
        <v>132</v>
      </c>
      <c r="C149" s="3">
        <v>-1500</v>
      </c>
      <c r="D149" s="3">
        <v>-750</v>
      </c>
      <c r="E149" s="3">
        <v>-939</v>
      </c>
      <c r="F149" s="3">
        <v>-1432</v>
      </c>
      <c r="G149" s="3">
        <f>-2961</f>
        <v>-2961</v>
      </c>
      <c r="H149" s="3">
        <v>-2</v>
      </c>
      <c r="I149" s="3">
        <v>-1501</v>
      </c>
      <c r="J149" s="3">
        <v>-1501</v>
      </c>
      <c r="K149" s="3">
        <v>-1776</v>
      </c>
      <c r="L149" s="3">
        <v>-1500</v>
      </c>
      <c r="M149" s="3">
        <v>-1551</v>
      </c>
      <c r="N149" s="3">
        <v>-1500</v>
      </c>
      <c r="O149" s="3"/>
      <c r="P149" s="3"/>
      <c r="Q149" s="3"/>
      <c r="R149" s="3"/>
      <c r="S149" s="3">
        <v>-4199</v>
      </c>
      <c r="T149" s="3">
        <v>-5002</v>
      </c>
      <c r="U149" s="3">
        <v>-6047</v>
      </c>
    </row>
    <row r="150" spans="2:21">
      <c r="B150" t="s">
        <v>133</v>
      </c>
      <c r="C150" s="3">
        <v>-244</v>
      </c>
      <c r="D150" s="3">
        <v>-31</v>
      </c>
      <c r="E150" s="3">
        <v>-46</v>
      </c>
      <c r="F150" s="3">
        <v>-149</v>
      </c>
      <c r="G150" s="3">
        <f>-200-F150</f>
        <v>-51</v>
      </c>
      <c r="H150" s="3">
        <v>-25</v>
      </c>
      <c r="I150" s="3">
        <v>-167</v>
      </c>
      <c r="J150" s="3">
        <v>-63</v>
      </c>
      <c r="K150" s="3">
        <v>-41</v>
      </c>
      <c r="L150" s="3">
        <v>-277</v>
      </c>
      <c r="M150" s="3">
        <v>28</v>
      </c>
      <c r="N150" s="3">
        <v>-68</v>
      </c>
      <c r="O150" s="3"/>
      <c r="P150" s="3"/>
      <c r="Q150" s="3"/>
      <c r="R150" s="3"/>
      <c r="S150" s="3">
        <v>-336</v>
      </c>
      <c r="T150" s="3">
        <v>-257</v>
      </c>
      <c r="U150" s="3">
        <v>-351</v>
      </c>
    </row>
    <row r="151" spans="2:21">
      <c r="B151" t="s">
        <v>134</v>
      </c>
      <c r="C151" s="3">
        <v>286</v>
      </c>
      <c r="D151" s="3">
        <v>3002</v>
      </c>
      <c r="E151" s="3">
        <v>58</v>
      </c>
      <c r="F151" s="3">
        <v>72</v>
      </c>
      <c r="G151" s="3">
        <f>720-F151</f>
        <v>648</v>
      </c>
      <c r="H151" s="3">
        <v>109</v>
      </c>
      <c r="I151" s="3">
        <v>115</v>
      </c>
      <c r="J151" s="3">
        <v>1299</v>
      </c>
      <c r="K151" s="3">
        <v>132</v>
      </c>
      <c r="L151" s="3">
        <v>1491</v>
      </c>
      <c r="M151" s="3">
        <v>0</v>
      </c>
      <c r="N151" s="3">
        <v>746</v>
      </c>
      <c r="O151" s="3"/>
      <c r="P151" s="3"/>
      <c r="Q151" s="3"/>
      <c r="R151" s="3"/>
      <c r="S151" s="3">
        <v>3475</v>
      </c>
      <c r="T151" s="3">
        <v>1528</v>
      </c>
      <c r="U151" s="3">
        <v>1546</v>
      </c>
    </row>
    <row r="152" spans="2:21">
      <c r="B152" t="s">
        <v>135</v>
      </c>
      <c r="C152" s="3">
        <v>-104</v>
      </c>
      <c r="D152" s="3">
        <v>-1582</v>
      </c>
      <c r="E152" s="3"/>
      <c r="F152" s="3">
        <v>-5</v>
      </c>
      <c r="G152" s="3">
        <f>-942-F152</f>
        <v>-937</v>
      </c>
      <c r="H152" s="3"/>
      <c r="I152" s="3">
        <v>-3559</v>
      </c>
      <c r="J152" s="3">
        <v>3148</v>
      </c>
      <c r="K152" s="3"/>
      <c r="L152" s="3"/>
      <c r="M152" s="3">
        <v>-1207</v>
      </c>
      <c r="N152" s="3">
        <v>-747</v>
      </c>
      <c r="O152" s="3"/>
      <c r="P152" s="3"/>
      <c r="Q152" s="3"/>
      <c r="R152" s="3"/>
      <c r="S152" s="3">
        <v>-1686</v>
      </c>
      <c r="T152" s="3">
        <v>-1053</v>
      </c>
      <c r="U152" s="3">
        <v>-1661</v>
      </c>
    </row>
    <row r="153" spans="2:21">
      <c r="B153" t="s">
        <v>85</v>
      </c>
      <c r="C153" s="3">
        <v>863</v>
      </c>
      <c r="D153" s="3">
        <v>723</v>
      </c>
      <c r="E153" s="3">
        <v>-2245</v>
      </c>
      <c r="F153" s="3">
        <v>-1020</v>
      </c>
      <c r="G153" s="3">
        <f>-2578-F153</f>
        <v>-1558</v>
      </c>
      <c r="H153" s="3">
        <v>1301</v>
      </c>
      <c r="I153" s="3">
        <v>-483</v>
      </c>
      <c r="J153" s="3">
        <v>445</v>
      </c>
      <c r="K153" s="3">
        <v>-733</v>
      </c>
      <c r="L153" s="3">
        <v>1417</v>
      </c>
      <c r="M153" s="3">
        <v>-504</v>
      </c>
      <c r="N153" s="3">
        <v>-250</v>
      </c>
      <c r="O153" s="3"/>
      <c r="P153" s="3"/>
      <c r="Q153" s="3"/>
      <c r="R153" s="3"/>
      <c r="S153" s="3">
        <v>1405</v>
      </c>
      <c r="T153" s="3">
        <v>1861</v>
      </c>
      <c r="U153" s="3">
        <v>-1954</v>
      </c>
    </row>
    <row r="154" spans="2:21">
      <c r="B154" t="s">
        <v>136</v>
      </c>
      <c r="C154" s="3" t="s">
        <v>115</v>
      </c>
      <c r="D154" s="3"/>
      <c r="E154" s="3"/>
      <c r="F154" s="3">
        <v>-129</v>
      </c>
      <c r="G154" s="3">
        <f>-175-F154</f>
        <v>-46</v>
      </c>
      <c r="H154" s="3">
        <v>110</v>
      </c>
      <c r="I154" s="3">
        <v>33</v>
      </c>
      <c r="J154" s="3">
        <v>37</v>
      </c>
      <c r="K154" s="3">
        <v>-71</v>
      </c>
      <c r="L154" s="3">
        <v>-135</v>
      </c>
      <c r="M154" s="3">
        <v>-10</v>
      </c>
      <c r="N154" s="3">
        <v>-10</v>
      </c>
      <c r="O154" s="3"/>
      <c r="P154" s="3"/>
      <c r="Q154" s="3"/>
      <c r="R154" s="3"/>
      <c r="S154" s="3">
        <v>-6</v>
      </c>
      <c r="T154" s="3">
        <v>-197</v>
      </c>
      <c r="U154" s="3">
        <v>156</v>
      </c>
    </row>
    <row r="155" spans="2:21">
      <c r="B155" t="s">
        <v>109</v>
      </c>
      <c r="C155" s="3">
        <v>1</v>
      </c>
      <c r="D155" s="3"/>
      <c r="E155" s="3"/>
      <c r="F155" s="3"/>
      <c r="G155" s="3"/>
      <c r="H155" s="3"/>
      <c r="I155" s="3"/>
      <c r="J155" s="3"/>
      <c r="K155" s="3">
        <v>60</v>
      </c>
      <c r="L155" s="3">
        <v>-2</v>
      </c>
      <c r="M155" s="3">
        <v>-4</v>
      </c>
      <c r="N155" s="3"/>
      <c r="O155" s="3"/>
      <c r="P155" s="3"/>
      <c r="Q155" s="3"/>
      <c r="R155" s="3"/>
      <c r="S155" s="3">
        <v>1</v>
      </c>
      <c r="T155" s="3" t="s">
        <v>115</v>
      </c>
      <c r="U155" s="3">
        <v>-60</v>
      </c>
    </row>
    <row r="156" spans="2:21">
      <c r="B156" s="25" t="s">
        <v>137</v>
      </c>
      <c r="C156" s="28">
        <f t="shared" ref="C156:Q156" si="77">SUM(C148:C155)</f>
        <v>-695</v>
      </c>
      <c r="D156" s="28">
        <f t="shared" si="77"/>
        <v>1445</v>
      </c>
      <c r="E156" s="28">
        <f t="shared" si="77"/>
        <v>-3172</v>
      </c>
      <c r="F156" s="28">
        <f t="shared" si="77"/>
        <v>-2662</v>
      </c>
      <c r="G156" s="28">
        <f t="shared" si="77"/>
        <v>-4824</v>
      </c>
      <c r="H156" s="28">
        <f t="shared" si="77"/>
        <v>1493</v>
      </c>
      <c r="I156" s="28">
        <f t="shared" si="77"/>
        <v>-5562</v>
      </c>
      <c r="J156" s="28">
        <f t="shared" si="77"/>
        <v>3420</v>
      </c>
      <c r="K156" s="28">
        <f t="shared" si="77"/>
        <v>-2429</v>
      </c>
      <c r="L156" s="28">
        <f t="shared" si="77"/>
        <v>994</v>
      </c>
      <c r="M156" s="28">
        <f t="shared" si="77"/>
        <v>-3174</v>
      </c>
      <c r="N156" s="28">
        <f t="shared" si="77"/>
        <v>-1829</v>
      </c>
      <c r="O156" s="28">
        <f t="shared" si="77"/>
        <v>0</v>
      </c>
      <c r="P156" s="28">
        <f t="shared" si="77"/>
        <v>0</v>
      </c>
      <c r="Q156" s="28">
        <f t="shared" si="77"/>
        <v>0</v>
      </c>
      <c r="R156" s="28"/>
      <c r="S156" s="28">
        <f t="shared" ref="S156:T156" si="78">SUM(S148:S155)</f>
        <v>-1203</v>
      </c>
      <c r="T156" s="28">
        <f t="shared" si="78"/>
        <v>-2993</v>
      </c>
      <c r="U156" s="28">
        <f>SUM(U148:U155)</f>
        <v>-8276</v>
      </c>
    </row>
    <row r="158" spans="2:21">
      <c r="B158" t="s">
        <v>152</v>
      </c>
      <c r="C158">
        <v>18</v>
      </c>
      <c r="D158">
        <f>-136-C158</f>
        <v>-154</v>
      </c>
      <c r="E158">
        <f>-253-SUM(C158:D158)</f>
        <v>-117</v>
      </c>
      <c r="F158">
        <v>-4</v>
      </c>
      <c r="G158">
        <f>-50-F158</f>
        <v>-46</v>
      </c>
      <c r="H158">
        <f>-95-SUM(F158:G158)</f>
        <v>-45</v>
      </c>
      <c r="I158">
        <v>-94</v>
      </c>
      <c r="J158">
        <f>-89-I158</f>
        <v>5</v>
      </c>
      <c r="K158">
        <f>103-SUM(I158:J158)</f>
        <v>192</v>
      </c>
      <c r="L158">
        <v>94</v>
      </c>
      <c r="M158">
        <f>289-L158</f>
        <v>195</v>
      </c>
      <c r="N158">
        <f>245-SUM(L158:M158)</f>
        <v>-44</v>
      </c>
    </row>
    <row r="159" spans="2:21">
      <c r="B159" s="2" t="s">
        <v>138</v>
      </c>
      <c r="C159" s="3">
        <f>C130+C144+C156+C158</f>
        <v>3480</v>
      </c>
      <c r="D159" s="3">
        <f t="shared" ref="D159:N159" si="79">D130+D144+D156+D158</f>
        <v>2224</v>
      </c>
      <c r="E159" s="3">
        <f t="shared" si="79"/>
        <v>4276</v>
      </c>
      <c r="F159" s="3">
        <f t="shared" si="79"/>
        <v>2046</v>
      </c>
      <c r="G159" s="3">
        <f t="shared" si="79"/>
        <v>-65</v>
      </c>
      <c r="H159" s="3">
        <f t="shared" si="79"/>
        <v>2400</v>
      </c>
      <c r="I159" s="3">
        <f t="shared" si="79"/>
        <v>580</v>
      </c>
      <c r="J159" s="3">
        <f t="shared" si="79"/>
        <v>3733</v>
      </c>
      <c r="K159" s="3">
        <f t="shared" si="79"/>
        <v>5422</v>
      </c>
      <c r="L159" s="3">
        <f t="shared" si="79"/>
        <v>-214</v>
      </c>
      <c r="M159" s="3">
        <f t="shared" si="79"/>
        <v>-456</v>
      </c>
      <c r="N159" s="3">
        <f t="shared" si="79"/>
        <v>5180</v>
      </c>
      <c r="O159" s="3"/>
      <c r="P159" s="3">
        <f t="shared" ref="P159:Q159" si="80">P130+P144+P156</f>
        <v>0</v>
      </c>
      <c r="Q159" s="3">
        <f t="shared" si="80"/>
        <v>0</v>
      </c>
      <c r="S159" s="3">
        <f>S130+S144+S156</f>
        <v>1282</v>
      </c>
      <c r="T159" s="3">
        <f t="shared" ref="T159:U159" si="81">T130+T144+T156</f>
        <v>4048</v>
      </c>
      <c r="U159" s="3">
        <f t="shared" si="81"/>
        <v>763</v>
      </c>
    </row>
    <row r="161" spans="2:21" ht="23.25">
      <c r="B161" s="17" t="s">
        <v>216</v>
      </c>
    </row>
    <row r="162" spans="2:21" ht="23.25">
      <c r="B162" s="17"/>
      <c r="S162" s="122" t="s">
        <v>161</v>
      </c>
      <c r="T162" s="122"/>
      <c r="U162" s="122"/>
    </row>
    <row r="163" spans="2:21">
      <c r="B163" s="2" t="s">
        <v>279</v>
      </c>
      <c r="S163" s="39">
        <v>44926</v>
      </c>
      <c r="T163" s="39">
        <f>EOMONTH(S163,12)</f>
        <v>45291</v>
      </c>
      <c r="U163" s="39">
        <f>EOMONTH(T163,12)</f>
        <v>45657</v>
      </c>
    </row>
    <row r="164" spans="2:21">
      <c r="B164" t="s">
        <v>282</v>
      </c>
      <c r="S164">
        <f>S73</f>
        <v>0</v>
      </c>
      <c r="T164">
        <f t="shared" ref="T164:U164" si="82">T73</f>
        <v>1069</v>
      </c>
      <c r="U164">
        <f t="shared" si="82"/>
        <v>984</v>
      </c>
    </row>
    <row r="165" spans="2:21">
      <c r="B165" t="s">
        <v>283</v>
      </c>
      <c r="S165">
        <f>S89</f>
        <v>0</v>
      </c>
      <c r="T165">
        <f>T89</f>
        <v>139</v>
      </c>
      <c r="U165">
        <f>U89</f>
        <v>227</v>
      </c>
    </row>
    <row r="166" spans="2:21">
      <c r="B166" s="25" t="s">
        <v>284</v>
      </c>
      <c r="C166" s="24"/>
      <c r="D166" s="24"/>
      <c r="E166" s="24"/>
      <c r="F166" s="24"/>
      <c r="G166" s="24"/>
      <c r="H166" s="24"/>
      <c r="I166" s="24"/>
      <c r="J166" s="24"/>
      <c r="K166" s="24"/>
      <c r="L166" s="24"/>
      <c r="M166" s="24"/>
      <c r="N166" s="24"/>
      <c r="O166" s="24"/>
      <c r="P166" s="24"/>
      <c r="Q166" s="24"/>
      <c r="R166" s="24"/>
      <c r="S166" s="60">
        <f>S164-S165</f>
        <v>0</v>
      </c>
      <c r="T166" s="60">
        <f t="shared" ref="T166:U166" si="83">T164-T165</f>
        <v>930</v>
      </c>
      <c r="U166" s="60">
        <f t="shared" si="83"/>
        <v>757</v>
      </c>
    </row>
    <row r="167" spans="2:21">
      <c r="B167" t="s">
        <v>285</v>
      </c>
      <c r="S167" s="3">
        <f>S165-S166</f>
        <v>0</v>
      </c>
      <c r="T167" s="3">
        <f>T166-S167</f>
        <v>930</v>
      </c>
      <c r="U167" s="3">
        <f>U166-T167</f>
        <v>-173</v>
      </c>
    </row>
    <row r="169" spans="2:21">
      <c r="B169" s="2" t="s">
        <v>280</v>
      </c>
    </row>
    <row r="170" spans="2:21">
      <c r="B170" t="s">
        <v>286</v>
      </c>
      <c r="S170">
        <v>355</v>
      </c>
      <c r="T170">
        <v>278</v>
      </c>
      <c r="U170">
        <v>282</v>
      </c>
    </row>
    <row r="171" spans="2:21">
      <c r="B171" t="s">
        <v>289</v>
      </c>
      <c r="S171">
        <v>1170</v>
      </c>
      <c r="T171">
        <v>1192</v>
      </c>
      <c r="U171">
        <v>1114</v>
      </c>
    </row>
    <row r="172" spans="2:21">
      <c r="B172" t="s">
        <v>290</v>
      </c>
      <c r="S172">
        <v>1247</v>
      </c>
      <c r="T172">
        <v>1188</v>
      </c>
      <c r="U172">
        <v>1054</v>
      </c>
    </row>
    <row r="173" spans="2:21">
      <c r="B173" s="24" t="s">
        <v>287</v>
      </c>
      <c r="C173" s="24"/>
      <c r="D173" s="24"/>
      <c r="E173" s="24"/>
      <c r="F173" s="24"/>
      <c r="G173" s="24"/>
      <c r="H173" s="24"/>
      <c r="I173" s="24"/>
      <c r="J173" s="24"/>
      <c r="K173" s="24"/>
      <c r="L173" s="24"/>
      <c r="M173" s="24"/>
      <c r="N173" s="24"/>
      <c r="O173" s="24"/>
      <c r="P173" s="24"/>
      <c r="Q173" s="24"/>
      <c r="R173" s="24"/>
      <c r="S173" s="24">
        <f>S170+S171-S172</f>
        <v>278</v>
      </c>
      <c r="T173" s="24">
        <f t="shared" ref="T173:U173" si="84">T170+T171-T172</f>
        <v>282</v>
      </c>
      <c r="U173" s="24">
        <f t="shared" si="84"/>
        <v>342</v>
      </c>
    </row>
    <row r="175" spans="2:21">
      <c r="B175" s="2" t="s">
        <v>281</v>
      </c>
    </row>
    <row r="176" spans="2:21">
      <c r="B176" t="s">
        <v>288</v>
      </c>
      <c r="S176">
        <v>491</v>
      </c>
      <c r="T176">
        <v>598</v>
      </c>
      <c r="U176">
        <v>540</v>
      </c>
    </row>
    <row r="177" spans="2:21" ht="15.75">
      <c r="B177" t="s">
        <v>289</v>
      </c>
      <c r="C177" s="63"/>
      <c r="D177" s="63"/>
      <c r="S177">
        <v>437</v>
      </c>
      <c r="T177">
        <v>539</v>
      </c>
      <c r="U177">
        <v>337</v>
      </c>
    </row>
    <row r="178" spans="2:21">
      <c r="B178" t="s">
        <v>290</v>
      </c>
      <c r="C178" s="64"/>
      <c r="D178" s="64"/>
      <c r="F178" s="3"/>
      <c r="S178">
        <v>330</v>
      </c>
      <c r="T178">
        <v>597</v>
      </c>
      <c r="U178">
        <v>416</v>
      </c>
    </row>
    <row r="179" spans="2:21">
      <c r="B179" s="24" t="s">
        <v>291</v>
      </c>
      <c r="C179" s="24"/>
      <c r="D179" s="24"/>
      <c r="E179" s="24"/>
      <c r="F179" s="24"/>
      <c r="G179" s="24"/>
      <c r="H179" s="24"/>
      <c r="I179" s="24"/>
      <c r="J179" s="24"/>
      <c r="K179" s="24"/>
      <c r="L179" s="24"/>
      <c r="M179" s="24"/>
      <c r="N179" s="24"/>
      <c r="O179" s="24"/>
      <c r="P179" s="24"/>
      <c r="Q179" s="24"/>
      <c r="R179" s="24"/>
      <c r="S179" s="24">
        <f>S176+S177-S178</f>
        <v>598</v>
      </c>
      <c r="T179" s="24">
        <f t="shared" ref="T179:U179" si="85">T176+T177-T178</f>
        <v>540</v>
      </c>
      <c r="U179" s="24">
        <f t="shared" si="85"/>
        <v>461</v>
      </c>
    </row>
    <row r="180" spans="2:21">
      <c r="F180" s="3"/>
    </row>
    <row r="181" spans="2:21">
      <c r="F181" s="3"/>
    </row>
    <row r="182" spans="2:21" ht="23.25">
      <c r="B182" s="17" t="s">
        <v>292</v>
      </c>
      <c r="F182" s="3"/>
      <c r="S182" s="61"/>
      <c r="T182" s="61"/>
      <c r="U182" s="61"/>
    </row>
    <row r="183" spans="2:21">
      <c r="F183" s="3"/>
      <c r="S183" s="62"/>
      <c r="T183" s="62"/>
      <c r="U183" s="62"/>
    </row>
    <row r="184" spans="2:21">
      <c r="B184" s="2" t="s">
        <v>160</v>
      </c>
      <c r="F184" s="3"/>
    </row>
    <row r="185" spans="2:21">
      <c r="B185" t="s">
        <v>49</v>
      </c>
      <c r="C185" s="57">
        <f>$U$63</f>
        <v>0.22180521673860012</v>
      </c>
      <c r="F185" s="3"/>
    </row>
    <row r="186" spans="2:21">
      <c r="B186" t="s">
        <v>299</v>
      </c>
      <c r="C186" s="57">
        <f>U95/(U95+U102)</f>
        <v>0.32608265117507262</v>
      </c>
      <c r="F186" s="3"/>
    </row>
    <row r="187" spans="2:21">
      <c r="B187" t="s">
        <v>300</v>
      </c>
      <c r="C187" s="57">
        <f>U102/(U102+U95)</f>
        <v>0.67391734882492738</v>
      </c>
      <c r="F187" s="3"/>
    </row>
    <row r="188" spans="2:21">
      <c r="B188" t="s">
        <v>297</v>
      </c>
      <c r="C188" s="57">
        <v>0.1</v>
      </c>
      <c r="F188" s="3"/>
    </row>
    <row r="189" spans="2:21">
      <c r="B189" t="s">
        <v>298</v>
      </c>
      <c r="C189" s="57">
        <f>0.04+1.31*(0.08-0.04)</f>
        <v>9.240000000000001E-2</v>
      </c>
      <c r="F189" s="3"/>
    </row>
    <row r="190" spans="2:21">
      <c r="B190" t="s">
        <v>293</v>
      </c>
      <c r="C190" s="4">
        <f>(C186*C188*C185)+(C187*C189)</f>
        <v>6.9502646343281738E-2</v>
      </c>
      <c r="F190" s="3"/>
    </row>
    <row r="191" spans="2:21">
      <c r="B191" t="s">
        <v>294</v>
      </c>
      <c r="C191" s="57">
        <v>0.02</v>
      </c>
      <c r="F191" s="3"/>
    </row>
    <row r="192" spans="2:21">
      <c r="B192" t="s">
        <v>301</v>
      </c>
      <c r="C192" s="35">
        <f>(C193-U71+U95)/U41</f>
        <v>13.141145539906104</v>
      </c>
      <c r="F192" s="3"/>
    </row>
    <row r="193" spans="2:21">
      <c r="B193" t="s">
        <v>295</v>
      </c>
      <c r="C193" s="1">
        <f>C7</f>
        <v>66658.600000000006</v>
      </c>
      <c r="F193" s="3"/>
    </row>
    <row r="194" spans="2:21">
      <c r="F194" s="3"/>
    </row>
    <row r="195" spans="2:21" ht="15.75">
      <c r="B195" s="2" t="s">
        <v>296</v>
      </c>
      <c r="C195" s="122" t="s">
        <v>161</v>
      </c>
      <c r="D195" s="122"/>
      <c r="E195" s="122"/>
      <c r="F195" s="123" t="s">
        <v>162</v>
      </c>
      <c r="G195" s="124"/>
      <c r="H195" s="124"/>
      <c r="I195" s="124"/>
      <c r="J195" s="124"/>
      <c r="K195" s="124"/>
    </row>
    <row r="196" spans="2:21">
      <c r="C196" s="39">
        <v>44926</v>
      </c>
      <c r="D196" s="39">
        <f>EOMONTH(C196,12)</f>
        <v>45291</v>
      </c>
      <c r="E196" s="39">
        <f>EOMONTH(D196,12)</f>
        <v>45657</v>
      </c>
      <c r="F196" s="40">
        <f t="shared" ref="F196" si="86">EOMONTH(E196,12)</f>
        <v>46022</v>
      </c>
      <c r="G196" s="40">
        <f t="shared" ref="G196" si="87">EOMONTH(F196,12)</f>
        <v>46387</v>
      </c>
      <c r="H196" s="40">
        <f t="shared" ref="H196" si="88">EOMONTH(G196,12)</f>
        <v>46752</v>
      </c>
      <c r="I196" s="40">
        <f t="shared" ref="I196" si="89">EOMONTH(H196,12)</f>
        <v>47118</v>
      </c>
      <c r="J196" s="40">
        <f t="shared" ref="J196" si="90">EOMONTH(I196,12)</f>
        <v>47483</v>
      </c>
      <c r="K196" s="40">
        <f t="shared" ref="K196" si="91">EOMONTH(J196,12)</f>
        <v>47848</v>
      </c>
      <c r="L196" s="15"/>
      <c r="M196" s="15"/>
      <c r="N196" s="120" t="s">
        <v>306</v>
      </c>
      <c r="O196" s="120"/>
      <c r="P196" s="15"/>
      <c r="Q196" s="15"/>
    </row>
    <row r="197" spans="2:21">
      <c r="B197" t="s">
        <v>141</v>
      </c>
      <c r="C197" s="3">
        <f>S41</f>
        <v>3837</v>
      </c>
      <c r="D197" s="3">
        <f t="shared" ref="D197:E197" si="92">T41</f>
        <v>5028</v>
      </c>
      <c r="E197" s="3">
        <f t="shared" si="92"/>
        <v>5325</v>
      </c>
      <c r="F197" s="3">
        <f>V41</f>
        <v>8003.2046400851359</v>
      </c>
      <c r="G197" s="3">
        <f t="shared" ref="G197:K197" si="93">W41</f>
        <v>8542.4342884343132</v>
      </c>
      <c r="H197" s="3">
        <f t="shared" si="93"/>
        <v>9023.2570997418043</v>
      </c>
      <c r="I197" s="3">
        <f t="shared" si="93"/>
        <v>9401.9511676872971</v>
      </c>
      <c r="J197" s="3">
        <f t="shared" si="93"/>
        <v>9656.729637390752</v>
      </c>
      <c r="K197" s="3">
        <f t="shared" si="93"/>
        <v>9679.150235573492</v>
      </c>
      <c r="L197" s="3"/>
      <c r="M197" s="3"/>
      <c r="N197" s="60" t="s">
        <v>307</v>
      </c>
      <c r="O197" s="60"/>
      <c r="P197" s="60"/>
      <c r="Q197" s="60"/>
      <c r="R197" s="3"/>
      <c r="S197" s="3"/>
      <c r="T197" s="3"/>
      <c r="U197" s="3"/>
    </row>
    <row r="198" spans="2:21">
      <c r="B198" t="s">
        <v>303</v>
      </c>
      <c r="C198" s="3">
        <f>S134+S135</f>
        <v>-701</v>
      </c>
      <c r="D198" s="3">
        <f t="shared" ref="D198:E198" si="94">T134+T135</f>
        <v>-578</v>
      </c>
      <c r="E198" s="3">
        <f t="shared" si="94"/>
        <v>-682</v>
      </c>
      <c r="F198" s="3">
        <f>E198*(1+0.01)</f>
        <v>-688.82</v>
      </c>
      <c r="G198" s="3">
        <f t="shared" ref="G198:K198" si="95">F198*(1+0.01)</f>
        <v>-695.70820000000003</v>
      </c>
      <c r="H198" s="3">
        <f t="shared" si="95"/>
        <v>-702.66528200000005</v>
      </c>
      <c r="I198" s="3">
        <f t="shared" si="95"/>
        <v>-709.69193482000003</v>
      </c>
      <c r="J198" s="3">
        <f t="shared" si="95"/>
        <v>-716.78885416820003</v>
      </c>
      <c r="K198" s="3">
        <f t="shared" si="95"/>
        <v>-723.95674270988206</v>
      </c>
      <c r="N198" t="s">
        <v>308</v>
      </c>
      <c r="Q198">
        <f>K197*C192</f>
        <v>127195.12194828771</v>
      </c>
      <c r="S198" s="3"/>
      <c r="T198" s="3"/>
      <c r="U198" s="3"/>
    </row>
    <row r="199" spans="2:21">
      <c r="B199" t="s">
        <v>302</v>
      </c>
      <c r="C199" s="3">
        <f>S167</f>
        <v>0</v>
      </c>
      <c r="D199" s="3">
        <f t="shared" ref="D199:E199" si="96">T167</f>
        <v>930</v>
      </c>
      <c r="E199" s="3">
        <f t="shared" si="96"/>
        <v>-173</v>
      </c>
      <c r="F199" s="3"/>
      <c r="G199" s="3"/>
      <c r="H199" s="3"/>
      <c r="I199" s="3"/>
      <c r="J199" s="3"/>
      <c r="K199" s="3"/>
      <c r="L199" s="3"/>
      <c r="M199" s="3"/>
      <c r="N199" s="3"/>
      <c r="O199" s="3"/>
      <c r="P199" s="3"/>
      <c r="Q199" s="3"/>
      <c r="R199" s="3"/>
      <c r="S199" s="3"/>
      <c r="T199" s="3"/>
      <c r="U199" s="3"/>
    </row>
    <row r="200" spans="2:21">
      <c r="B200" s="24" t="s">
        <v>304</v>
      </c>
      <c r="C200" s="60">
        <f>C197+C198-C199</f>
        <v>3136</v>
      </c>
      <c r="D200" s="60">
        <f t="shared" ref="D200:E200" si="97">D197+D198-D199</f>
        <v>3520</v>
      </c>
      <c r="E200" s="60">
        <f t="shared" si="97"/>
        <v>4816</v>
      </c>
      <c r="F200" s="60">
        <f t="shared" ref="F200" si="98">F197+F198-F199</f>
        <v>7314.3846400851362</v>
      </c>
      <c r="G200" s="60">
        <f t="shared" ref="G200" si="99">G197+G198-G199</f>
        <v>7846.7260884343132</v>
      </c>
      <c r="H200" s="60">
        <f t="shared" ref="H200" si="100">H197+H198-H199</f>
        <v>8320.5918177418043</v>
      </c>
      <c r="I200" s="60">
        <f t="shared" ref="I200" si="101">I197+I198-I199</f>
        <v>8692.2592328672963</v>
      </c>
      <c r="J200" s="60">
        <f t="shared" ref="J200" si="102">J197+J198-J199</f>
        <v>8939.9407832225515</v>
      </c>
      <c r="K200" s="60">
        <f t="shared" ref="K200" si="103">K197+K198-K199</f>
        <v>8955.1934928636092</v>
      </c>
      <c r="L200" s="3"/>
      <c r="M200" s="3"/>
      <c r="N200" s="3"/>
      <c r="O200" s="3"/>
      <c r="P200" s="3"/>
      <c r="Q200" s="3"/>
      <c r="R200" s="3"/>
      <c r="S200" s="3"/>
      <c r="T200" s="3"/>
      <c r="U200" s="3"/>
    </row>
    <row r="201" spans="2:21">
      <c r="F201" s="3"/>
    </row>
    <row r="202" spans="2:21">
      <c r="B202" s="2" t="s">
        <v>305</v>
      </c>
      <c r="C202" s="2" t="s">
        <v>293</v>
      </c>
      <c r="F202" s="3"/>
    </row>
    <row r="203" spans="2:21">
      <c r="B203" s="3">
        <f>NPV(C203,F203)</f>
        <v>6839.0523998174513</v>
      </c>
      <c r="C203" s="4">
        <f>C190</f>
        <v>6.9502646343281738E-2</v>
      </c>
      <c r="D203" s="5" t="s">
        <v>115</v>
      </c>
      <c r="E203" s="5" t="s">
        <v>115</v>
      </c>
      <c r="F203" s="7">
        <f>F200</f>
        <v>7314.3846400851362</v>
      </c>
      <c r="G203" s="5"/>
      <c r="H203" s="5"/>
      <c r="I203" s="5"/>
      <c r="J203" s="5"/>
      <c r="K203" s="5"/>
    </row>
    <row r="204" spans="2:21">
      <c r="B204" s="3">
        <f>NPV(C204,G204)</f>
        <v>7289.4280914787951</v>
      </c>
      <c r="C204" s="57">
        <f>C203*(1+0.1)</f>
        <v>7.6452910977609922E-2</v>
      </c>
      <c r="D204" s="5" t="s">
        <v>115</v>
      </c>
      <c r="E204" s="5" t="s">
        <v>115</v>
      </c>
      <c r="F204" s="5" t="s">
        <v>115</v>
      </c>
      <c r="G204" s="7">
        <f>G200</f>
        <v>7846.7260884343132</v>
      </c>
      <c r="H204" s="5"/>
      <c r="I204" s="5"/>
      <c r="J204" s="5"/>
      <c r="K204" s="5"/>
    </row>
    <row r="205" spans="2:21">
      <c r="B205" s="3">
        <f>NPV(C205,H205)</f>
        <v>7675.1274024927525</v>
      </c>
      <c r="C205" s="57">
        <f t="shared" ref="C205:C208" si="104">C204*(1+0.1)</f>
        <v>8.4098202075370915E-2</v>
      </c>
      <c r="D205" s="5" t="s">
        <v>115</v>
      </c>
      <c r="E205" s="5" t="s">
        <v>115</v>
      </c>
      <c r="F205" s="5" t="s">
        <v>115</v>
      </c>
      <c r="G205" s="5" t="s">
        <v>115</v>
      </c>
      <c r="H205" s="7">
        <f>H200</f>
        <v>8320.5918177418043</v>
      </c>
      <c r="I205" s="5"/>
      <c r="J205" s="5"/>
      <c r="K205" s="5"/>
    </row>
    <row r="206" spans="2:21">
      <c r="B206" s="3">
        <f>NPV(C206,I206)</f>
        <v>7956.2429342202222</v>
      </c>
      <c r="C206" s="57">
        <f t="shared" si="104"/>
        <v>9.2508022282908012E-2</v>
      </c>
      <c r="D206" s="5" t="s">
        <v>115</v>
      </c>
      <c r="E206" s="5" t="s">
        <v>115</v>
      </c>
      <c r="F206" s="5" t="s">
        <v>115</v>
      </c>
      <c r="G206" s="5" t="s">
        <v>115</v>
      </c>
      <c r="H206" s="5" t="s">
        <v>115</v>
      </c>
      <c r="I206" s="7">
        <f>I200</f>
        <v>8692.2592328672963</v>
      </c>
      <c r="J206" s="5"/>
      <c r="K206" s="5"/>
    </row>
    <row r="207" spans="2:21">
      <c r="B207" s="3">
        <f>NPV(C207,J207)</f>
        <v>8114.244773295829</v>
      </c>
      <c r="C207" s="57">
        <f t="shared" si="104"/>
        <v>0.10175882451119882</v>
      </c>
      <c r="D207" s="5" t="s">
        <v>115</v>
      </c>
      <c r="E207" s="5" t="s">
        <v>115</v>
      </c>
      <c r="F207" s="5" t="s">
        <v>115</v>
      </c>
      <c r="G207" s="5" t="s">
        <v>115</v>
      </c>
      <c r="H207" s="5" t="s">
        <v>115</v>
      </c>
      <c r="I207" s="5" t="s">
        <v>115</v>
      </c>
      <c r="J207" s="7">
        <f>J200</f>
        <v>8939.9407832225515</v>
      </c>
      <c r="K207" s="5"/>
    </row>
    <row r="208" spans="2:21">
      <c r="B208" s="3">
        <f>NPV(C208,K208)</f>
        <v>8053.7044457657021</v>
      </c>
      <c r="C208" s="57">
        <f t="shared" si="104"/>
        <v>0.11193470696231871</v>
      </c>
      <c r="D208" s="5" t="s">
        <v>115</v>
      </c>
      <c r="E208" s="5" t="s">
        <v>115</v>
      </c>
      <c r="F208" s="5" t="s">
        <v>115</v>
      </c>
      <c r="G208" s="5" t="s">
        <v>115</v>
      </c>
      <c r="H208" s="5" t="s">
        <v>115</v>
      </c>
      <c r="I208" s="5" t="s">
        <v>115</v>
      </c>
      <c r="J208" s="5" t="s">
        <v>115</v>
      </c>
      <c r="K208" s="7">
        <f>K200</f>
        <v>8955.1934928636092</v>
      </c>
    </row>
    <row r="209" spans="2:13">
      <c r="B209" s="3">
        <f>NPV(C209,K209)</f>
        <v>86897.068246407827</v>
      </c>
      <c r="C209" s="57">
        <f>1-SUM(C203:C208)</f>
        <v>0.46374468684731185</v>
      </c>
      <c r="D209" s="5" t="s">
        <v>115</v>
      </c>
      <c r="E209" s="5" t="s">
        <v>115</v>
      </c>
      <c r="F209" s="5" t="s">
        <v>115</v>
      </c>
      <c r="G209" s="5" t="s">
        <v>115</v>
      </c>
      <c r="H209" s="5" t="s">
        <v>115</v>
      </c>
      <c r="I209" s="5" t="s">
        <v>115</v>
      </c>
      <c r="J209" s="5" t="s">
        <v>115</v>
      </c>
      <c r="K209" s="7">
        <f>Q198</f>
        <v>127195.12194828771</v>
      </c>
    </row>
    <row r="210" spans="2:13">
      <c r="B210" s="28">
        <f>SUM(B203:B209)</f>
        <v>132824.86829347859</v>
      </c>
      <c r="C210" s="65">
        <f>SUM(C203:C209)</f>
        <v>1</v>
      </c>
      <c r="D210" s="24"/>
      <c r="E210" s="24"/>
      <c r="F210" s="60"/>
      <c r="G210" s="24"/>
      <c r="H210" s="24"/>
      <c r="I210" s="24"/>
      <c r="J210" s="24"/>
      <c r="K210" s="28">
        <f>SUM(F203,G204,H205,I206,J207,K208,K209)</f>
        <v>177264.21800350241</v>
      </c>
    </row>
    <row r="211" spans="2:13">
      <c r="F211" s="3"/>
    </row>
    <row r="212" spans="2:13">
      <c r="B212" s="67" t="s">
        <v>312</v>
      </c>
      <c r="C212" s="68"/>
      <c r="F212" s="69" t="s">
        <v>313</v>
      </c>
      <c r="G212" s="68"/>
      <c r="H212" s="68"/>
      <c r="K212" s="67" t="s">
        <v>318</v>
      </c>
      <c r="L212" s="68"/>
      <c r="M212" s="68"/>
    </row>
    <row r="213" spans="2:13">
      <c r="B213" t="s">
        <v>309</v>
      </c>
      <c r="C213" s="1">
        <f>B210</f>
        <v>132824.86829347859</v>
      </c>
      <c r="F213" s="3" t="s">
        <v>295</v>
      </c>
      <c r="G213" s="1"/>
      <c r="H213" s="1">
        <f>C193</f>
        <v>66658.600000000006</v>
      </c>
      <c r="K213" t="s">
        <v>319</v>
      </c>
      <c r="M213" s="70">
        <f>C5</f>
        <v>67.400000000000006</v>
      </c>
    </row>
    <row r="214" spans="2:13">
      <c r="B214" t="s">
        <v>310</v>
      </c>
      <c r="C214" s="3">
        <f>U71</f>
        <v>6561</v>
      </c>
      <c r="F214" s="3" t="s">
        <v>314</v>
      </c>
      <c r="G214" s="3"/>
      <c r="H214" s="3">
        <f>U95</f>
        <v>9879</v>
      </c>
      <c r="K214" t="s">
        <v>320</v>
      </c>
      <c r="M214" s="59">
        <f>C218</f>
        <v>130.94728846661133</v>
      </c>
    </row>
    <row r="215" spans="2:13">
      <c r="B215" t="s">
        <v>316</v>
      </c>
      <c r="C215" s="3">
        <f>U95</f>
        <v>9879</v>
      </c>
      <c r="F215" s="3" t="s">
        <v>315</v>
      </c>
      <c r="G215" s="3"/>
      <c r="H215" s="3">
        <f>U71</f>
        <v>6561</v>
      </c>
      <c r="K215" t="s">
        <v>321</v>
      </c>
    </row>
    <row r="216" spans="2:13">
      <c r="B216" s="25" t="s">
        <v>311</v>
      </c>
      <c r="C216" s="66">
        <f>C213+C214-C215</f>
        <v>129506.86829347859</v>
      </c>
      <c r="F216" s="28" t="s">
        <v>53</v>
      </c>
      <c r="G216" s="66"/>
      <c r="H216" s="24">
        <f>H213+H214-H215</f>
        <v>69976.600000000006</v>
      </c>
    </row>
    <row r="217" spans="2:13">
      <c r="F217" s="3"/>
    </row>
    <row r="218" spans="2:13">
      <c r="B218" t="s">
        <v>317</v>
      </c>
      <c r="C218" s="59">
        <f>C216/$C$6</f>
        <v>130.94728846661133</v>
      </c>
      <c r="F218" s="121" t="s">
        <v>317</v>
      </c>
      <c r="G218" s="121"/>
      <c r="H218" s="59">
        <f>H216/$C$6</f>
        <v>70.754903943377158</v>
      </c>
    </row>
    <row r="219" spans="2:13">
      <c r="F219" s="3"/>
    </row>
    <row r="220" spans="2:13">
      <c r="F220" s="3"/>
    </row>
    <row r="221" spans="2:13">
      <c r="F221" s="3"/>
    </row>
    <row r="222" spans="2:13">
      <c r="F222" s="3"/>
    </row>
    <row r="223" spans="2:13">
      <c r="F223" s="3"/>
    </row>
    <row r="224" spans="2:13">
      <c r="F224" s="3"/>
    </row>
    <row r="225" spans="2:6">
      <c r="F225" s="3"/>
    </row>
    <row r="226" spans="2:6">
      <c r="F226" s="3"/>
    </row>
    <row r="227" spans="2:6">
      <c r="F227" s="3"/>
    </row>
    <row r="228" spans="2:6">
      <c r="F228" s="3"/>
    </row>
    <row r="229" spans="2:6">
      <c r="F229" s="3"/>
    </row>
    <row r="230" spans="2:6">
      <c r="F230" s="3"/>
    </row>
    <row r="231" spans="2:6">
      <c r="B231" s="48" t="s">
        <v>213</v>
      </c>
    </row>
    <row r="232" spans="2:6">
      <c r="B232" t="s">
        <v>163</v>
      </c>
      <c r="C232" t="s">
        <v>167</v>
      </c>
    </row>
    <row r="233" spans="2:6">
      <c r="B233" t="s">
        <v>164</v>
      </c>
      <c r="C233" t="s">
        <v>168</v>
      </c>
    </row>
    <row r="234" spans="2:6">
      <c r="B234" t="s">
        <v>210</v>
      </c>
      <c r="C234" t="s">
        <v>211</v>
      </c>
      <c r="D234" t="s">
        <v>210</v>
      </c>
    </row>
    <row r="235" spans="2:6">
      <c r="B235" t="s">
        <v>212</v>
      </c>
      <c r="C235" t="s">
        <v>213</v>
      </c>
      <c r="D235" t="s">
        <v>214</v>
      </c>
    </row>
    <row r="236" spans="2:6">
      <c r="B236" t="s">
        <v>165</v>
      </c>
      <c r="C236" t="s">
        <v>169</v>
      </c>
    </row>
    <row r="237" spans="2:6">
      <c r="B237" t="s">
        <v>171</v>
      </c>
    </row>
    <row r="238" spans="2:6" ht="30">
      <c r="B238" s="32" t="s">
        <v>166</v>
      </c>
    </row>
    <row r="239" spans="2:6" ht="30">
      <c r="B239" s="32" t="s">
        <v>172</v>
      </c>
      <c r="C239" t="s">
        <v>170</v>
      </c>
    </row>
    <row r="241" spans="2:4">
      <c r="B241" s="48" t="s">
        <v>173</v>
      </c>
    </row>
    <row r="242" spans="2:4">
      <c r="B242" t="s">
        <v>174</v>
      </c>
      <c r="C242" t="s">
        <v>190</v>
      </c>
    </row>
    <row r="243" spans="2:4">
      <c r="B243" t="s">
        <v>277</v>
      </c>
      <c r="C243" s="1">
        <v>1680000</v>
      </c>
    </row>
    <row r="245" spans="2:4">
      <c r="B245" s="48" t="s">
        <v>188</v>
      </c>
    </row>
    <row r="246" spans="2:4">
      <c r="B246" t="s">
        <v>175</v>
      </c>
      <c r="C246" s="45" t="s">
        <v>4</v>
      </c>
      <c r="D246" s="45" t="s">
        <v>176</v>
      </c>
    </row>
    <row r="247" spans="2:4" ht="30">
      <c r="B247" t="s">
        <v>177</v>
      </c>
      <c r="C247" s="45" t="s">
        <v>178</v>
      </c>
      <c r="D247" s="45" t="s">
        <v>179</v>
      </c>
    </row>
    <row r="248" spans="2:4">
      <c r="B248" t="s">
        <v>180</v>
      </c>
      <c r="C248" s="45" t="s">
        <v>181</v>
      </c>
      <c r="D248" s="45"/>
    </row>
    <row r="249" spans="2:4">
      <c r="B249" t="s">
        <v>182</v>
      </c>
      <c r="C249" s="45" t="s">
        <v>183</v>
      </c>
      <c r="D249" s="45"/>
    </row>
    <row r="250" spans="2:4" ht="30">
      <c r="B250" t="s">
        <v>184</v>
      </c>
      <c r="C250" s="45" t="s">
        <v>185</v>
      </c>
      <c r="D250" s="45" t="s">
        <v>186</v>
      </c>
    </row>
    <row r="251" spans="2:4">
      <c r="B251" t="s">
        <v>183</v>
      </c>
      <c r="C251" s="45"/>
      <c r="D251" s="45"/>
    </row>
    <row r="252" spans="2:4">
      <c r="B252" t="s">
        <v>187</v>
      </c>
      <c r="C252" s="46"/>
      <c r="D252" s="46"/>
    </row>
    <row r="253" spans="2:4">
      <c r="B253" t="s">
        <v>189</v>
      </c>
      <c r="C253" s="46"/>
      <c r="D253" s="46"/>
    </row>
    <row r="254" spans="2:4">
      <c r="C254" s="46"/>
      <c r="D254" s="46"/>
    </row>
    <row r="255" spans="2:4">
      <c r="B255" s="48" t="s">
        <v>24</v>
      </c>
      <c r="C255" s="46"/>
      <c r="D255" s="46"/>
    </row>
    <row r="256" spans="2:4">
      <c r="B256" t="s">
        <v>194</v>
      </c>
      <c r="C256" s="46"/>
      <c r="D256" s="46"/>
    </row>
    <row r="257" spans="2:7" ht="30">
      <c r="B257" s="44" t="s">
        <v>191</v>
      </c>
      <c r="C257" s="46" t="s">
        <v>204</v>
      </c>
      <c r="D257" s="46"/>
    </row>
    <row r="258" spans="2:7">
      <c r="B258" s="26" t="s">
        <v>192</v>
      </c>
      <c r="C258" s="46"/>
      <c r="D258" s="46"/>
    </row>
    <row r="259" spans="2:7" ht="30">
      <c r="B259" s="47" t="s">
        <v>193</v>
      </c>
      <c r="C259" s="45" t="s">
        <v>195</v>
      </c>
      <c r="D259" s="45" t="s">
        <v>196</v>
      </c>
    </row>
    <row r="260" spans="2:7">
      <c r="B260" s="47" t="s">
        <v>197</v>
      </c>
    </row>
    <row r="261" spans="2:7">
      <c r="B261" s="47" t="s">
        <v>215</v>
      </c>
    </row>
    <row r="262" spans="2:7" ht="150">
      <c r="B262" t="s">
        <v>198</v>
      </c>
      <c r="C262" s="32" t="s">
        <v>199</v>
      </c>
      <c r="D262" s="32" t="s">
        <v>200</v>
      </c>
      <c r="E262" s="32" t="s">
        <v>201</v>
      </c>
      <c r="F262" s="32" t="s">
        <v>202</v>
      </c>
      <c r="G262" t="s">
        <v>203</v>
      </c>
    </row>
    <row r="264" spans="2:7">
      <c r="B264" s="48" t="s">
        <v>205</v>
      </c>
    </row>
    <row r="265" spans="2:7">
      <c r="B265" t="s">
        <v>206</v>
      </c>
      <c r="C265" s="3">
        <v>1680000000</v>
      </c>
      <c r="D265" t="s">
        <v>207</v>
      </c>
    </row>
    <row r="266" spans="2:7">
      <c r="B266" t="s">
        <v>208</v>
      </c>
      <c r="C266" s="3">
        <v>26300000</v>
      </c>
    </row>
    <row r="267" spans="2:7">
      <c r="B267" t="s">
        <v>209</v>
      </c>
      <c r="C267" s="3">
        <v>434000</v>
      </c>
    </row>
    <row r="268" spans="2:7">
      <c r="C268" s="3"/>
    </row>
    <row r="269" spans="2:7">
      <c r="B269" s="48" t="s">
        <v>217</v>
      </c>
    </row>
    <row r="270" spans="2:7">
      <c r="B270" t="s">
        <v>42</v>
      </c>
      <c r="C270" t="s">
        <v>219</v>
      </c>
    </row>
    <row r="271" spans="2:7" ht="18" customHeight="1">
      <c r="B271" t="s">
        <v>220</v>
      </c>
      <c r="C271" t="s">
        <v>221</v>
      </c>
    </row>
    <row r="272" spans="2:7" ht="18" customHeight="1">
      <c r="B272" t="s">
        <v>268</v>
      </c>
      <c r="C272" t="s">
        <v>269</v>
      </c>
      <c r="D272" t="s">
        <v>271</v>
      </c>
    </row>
    <row r="273" spans="2:5" ht="18" customHeight="1">
      <c r="B273" t="s">
        <v>270</v>
      </c>
      <c r="C273" s="57">
        <v>0.03</v>
      </c>
    </row>
    <row r="274" spans="2:5" ht="18" customHeight="1">
      <c r="B274" t="s">
        <v>272</v>
      </c>
      <c r="C274" t="s">
        <v>273</v>
      </c>
    </row>
    <row r="276" spans="2:5">
      <c r="B276" s="48" t="s">
        <v>222</v>
      </c>
    </row>
    <row r="277" spans="2:5" ht="60">
      <c r="B277" s="54" t="s">
        <v>223</v>
      </c>
      <c r="C277" s="53" t="s">
        <v>231</v>
      </c>
      <c r="D277" s="47" t="s">
        <v>232</v>
      </c>
      <c r="E277" s="56" t="s">
        <v>235</v>
      </c>
    </row>
    <row r="278" spans="2:5" ht="60">
      <c r="B278" s="55" t="s">
        <v>224</v>
      </c>
      <c r="C278" s="32" t="s">
        <v>233</v>
      </c>
    </row>
    <row r="279" spans="2:5">
      <c r="B279" t="s">
        <v>225</v>
      </c>
    </row>
    <row r="280" spans="2:5">
      <c r="B280" t="s">
        <v>226</v>
      </c>
    </row>
    <row r="281" spans="2:5">
      <c r="B281" t="s">
        <v>227</v>
      </c>
    </row>
    <row r="282" spans="2:5" ht="120">
      <c r="B282" s="47" t="s">
        <v>242</v>
      </c>
      <c r="C282" s="45" t="s">
        <v>243</v>
      </c>
      <c r="D282" s="32" t="s">
        <v>244</v>
      </c>
    </row>
    <row r="283" spans="2:5">
      <c r="B283" t="s">
        <v>239</v>
      </c>
    </row>
    <row r="284" spans="2:5">
      <c r="B284" t="s">
        <v>240</v>
      </c>
    </row>
    <row r="285" spans="2:5">
      <c r="B285" t="s">
        <v>241</v>
      </c>
      <c r="C285" t="s">
        <v>234</v>
      </c>
      <c r="D285" t="s">
        <v>176</v>
      </c>
    </row>
    <row r="286" spans="2:5" ht="90">
      <c r="B286" t="s">
        <v>266</v>
      </c>
      <c r="C286" s="32" t="s">
        <v>265</v>
      </c>
      <c r="D286" t="s">
        <v>267</v>
      </c>
    </row>
    <row r="288" spans="2:5">
      <c r="B288" t="s">
        <v>228</v>
      </c>
    </row>
    <row r="289" spans="2:9">
      <c r="B289" t="s">
        <v>229</v>
      </c>
    </row>
    <row r="290" spans="2:9">
      <c r="B290" t="s">
        <v>230</v>
      </c>
    </row>
    <row r="291" spans="2:9">
      <c r="B291" t="s">
        <v>236</v>
      </c>
      <c r="C291" t="s">
        <v>237</v>
      </c>
      <c r="D291" t="s">
        <v>234</v>
      </c>
    </row>
    <row r="292" spans="2:9">
      <c r="B292" t="s">
        <v>238</v>
      </c>
    </row>
    <row r="293" spans="2:9">
      <c r="B293" t="s">
        <v>234</v>
      </c>
      <c r="C293" t="s">
        <v>245</v>
      </c>
      <c r="D293" t="s">
        <v>246</v>
      </c>
    </row>
    <row r="294" spans="2:9" ht="60">
      <c r="B294" t="s">
        <v>264</v>
      </c>
      <c r="C294" s="32" t="s">
        <v>247</v>
      </c>
      <c r="D294" s="32" t="s">
        <v>248</v>
      </c>
      <c r="E294" s="32" t="s">
        <v>249</v>
      </c>
      <c r="F294" s="32" t="s">
        <v>250</v>
      </c>
      <c r="G294" t="s">
        <v>252</v>
      </c>
      <c r="H294" s="32" t="s">
        <v>253</v>
      </c>
      <c r="I294" s="32" t="s">
        <v>254</v>
      </c>
    </row>
    <row r="295" spans="2:9" ht="75">
      <c r="B295" t="s">
        <v>255</v>
      </c>
      <c r="C295" s="32" t="s">
        <v>256</v>
      </c>
    </row>
    <row r="296" spans="2:9">
      <c r="B296" t="s">
        <v>257</v>
      </c>
      <c r="C296" t="s">
        <v>258</v>
      </c>
    </row>
    <row r="297" spans="2:9">
      <c r="B297" t="s">
        <v>259</v>
      </c>
      <c r="C297" t="s">
        <v>260</v>
      </c>
    </row>
    <row r="298" spans="2:9">
      <c r="B298" t="s">
        <v>261</v>
      </c>
      <c r="C298" t="s">
        <v>262</v>
      </c>
      <c r="D298" t="s">
        <v>263</v>
      </c>
    </row>
  </sheetData>
  <dataConsolidate>
    <dataRefs count="1">
      <dataRef name="COGS"/>
    </dataRefs>
  </dataConsolidate>
  <mergeCells count="14">
    <mergeCell ref="N2:T2"/>
    <mergeCell ref="V30:AA30"/>
    <mergeCell ref="C30:N30"/>
    <mergeCell ref="O30:Q30"/>
    <mergeCell ref="S30:U30"/>
    <mergeCell ref="S13:U13"/>
    <mergeCell ref="V13:AA13"/>
    <mergeCell ref="C13:N13"/>
    <mergeCell ref="O13:Q13"/>
    <mergeCell ref="N196:O196"/>
    <mergeCell ref="F218:G218"/>
    <mergeCell ref="S162:U162"/>
    <mergeCell ref="C195:E195"/>
    <mergeCell ref="F195:K195"/>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Valuations</vt:lpstr>
      <vt:lpstr>Business Information</vt:lpstr>
      <vt:lpstr>Paypal 3statement 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dc:creator>
  <cp:lastModifiedBy>Johann Somosa</cp:lastModifiedBy>
  <dcterms:created xsi:type="dcterms:W3CDTF">2025-11-12T22:16:56Z</dcterms:created>
  <dcterms:modified xsi:type="dcterms:W3CDTF">2026-02-01T05:47:29Z</dcterms:modified>
</cp:coreProperties>
</file>